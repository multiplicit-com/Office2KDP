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defaultThemeVersion="124226"/>
  <mc:AlternateContent xmlns:mc="http://schemas.openxmlformats.org/markup-compatibility/2006">
    <mc:Choice Requires="x15">
      <x15ac:absPath xmlns:x15ac="http://schemas.microsoft.com/office/spreadsheetml/2010/11/ac" url="https://d.docs.live.net/1509e680a43c72c9/Documents/Office2kdp/"/>
    </mc:Choice>
  </mc:AlternateContent>
  <xr:revisionPtr revIDLastSave="64" documentId="13_ncr:1_{501A02B5-E408-4F28-AAE8-6A4D0AE78B5A}" xr6:coauthVersionLast="47" xr6:coauthVersionMax="47" xr10:uidLastSave="{31E3E842-EC92-4DA9-9C31-56F07A986804}"/>
  <bookViews>
    <workbookView xWindow="-110" yWindow="-110" windowWidth="22780" windowHeight="14540" xr2:uid="{00000000-000D-0000-FFFF-FFFF00000000}"/>
  </bookViews>
  <sheets>
    <sheet name="Your Document" sheetId="1" r:id="rId1"/>
    <sheet name="MS Word (.docx)" sheetId="3" r:id="rId2"/>
    <sheet name="MS Word (.pdf)" sheetId="5" r:id="rId3"/>
    <sheet name="Notes" sheetId="4" r:id="rId4"/>
    <sheet name="License" sheetId="6" r:id="rId5"/>
    <sheet name="Settings" sheetId="2" r:id="rId6"/>
  </sheets>
  <functionGroups builtInGroupCount="19"/>
  <definedNames>
    <definedName name="DPISelect" localSheetId="2">DPI[Name]</definedName>
    <definedName name="DPISelect">DPI[Name]</definedName>
    <definedName name="FormatSelect" localSheetId="2">Formats[Name]</definedName>
    <definedName name="FormatSelect">Formats[Name]</definedName>
    <definedName name="HeadFootSelect" localSheetId="2">HeadFoot[Name]</definedName>
    <definedName name="HeadFootSelect">HeadFoot[Name]</definedName>
    <definedName name="INTERIOR_BottomMargin">'MS Word (.docx)'!$E$20</definedName>
    <definedName name="INTERIOR_FooterDistance">'MS Word (.docx)'!$E$30</definedName>
    <definedName name="INTERIOR_GutterSize">'MS Word (.docx)'!$E$24</definedName>
    <definedName name="INTERIOR_HeaderDistance">'MS Word (.docx)'!$E$29</definedName>
    <definedName name="INTERIOR_InsideMargin">'MS Word (.docx)'!$E$21</definedName>
    <definedName name="INTERIOR_OutsideMargin">'MS Word (.docx)'!$E$22</definedName>
    <definedName name="INTERIOR_PageHeight">'MS Word (.docx)'!$E$17</definedName>
    <definedName name="INTERIOR_PageWidth">'MS Word (.docx)'!$E$16</definedName>
    <definedName name="INTERIOR_SectionStart">'MS Word (.docx)'!$E$34</definedName>
    <definedName name="INTERIOR_TopMargin">'MS Word (.docx)'!$E$19</definedName>
    <definedName name="MarginSelect" localSheetId="2">Margins[Name]</definedName>
    <definedName name="MarginSelect">Margins[Name]</definedName>
    <definedName name="PaperSelect" localSheetId="2">PaperType[Name]</definedName>
    <definedName name="PaperSelect">PaperType[Name]</definedName>
    <definedName name="SectionStartSelect">SectionStart[Name]</definedName>
    <definedName name="TrimSelect" localSheetId="2">Trims[Name]</definedName>
    <definedName name="TrimSelect">Trims[Name]</definedName>
    <definedName name="YesNoSelect" localSheetId="2">YesNo[Select]</definedName>
    <definedName name="YesNoSelect">YesNo[Select]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4" i="3" l="1"/>
  <c r="C20" i="1"/>
  <c r="B20" i="1"/>
  <c r="B45" i="1" s="1"/>
  <c r="D45" i="1" s="1"/>
  <c r="B42" i="1"/>
  <c r="C42" i="1" s="1"/>
  <c r="E23" i="5"/>
  <c r="B25" i="1"/>
  <c r="C25" i="1" s="1"/>
  <c r="B24" i="1"/>
  <c r="E12" i="5" s="1"/>
  <c r="B22" i="1" a="1"/>
  <c r="B22" i="1" s="1"/>
  <c r="E16" i="3" s="1"/>
  <c r="B23" i="1" a="1"/>
  <c r="B23" i="1" s="1"/>
  <c r="D23" i="1" s="1"/>
  <c r="B41" i="1"/>
  <c r="B46" i="1" s="1"/>
  <c r="C46" i="1" s="1"/>
  <c r="B21" i="1"/>
  <c r="B32" i="1" s="1"/>
  <c r="B56" i="1"/>
  <c r="B43" i="1"/>
  <c r="B44" i="1" s="1"/>
  <c r="B61" i="1" s="1"/>
  <c r="D61" i="1" s="1"/>
  <c r="B40" i="1"/>
  <c r="E32" i="3"/>
  <c r="B29" i="1"/>
  <c r="D29" i="1" s="1"/>
  <c r="B28" i="1"/>
  <c r="B30" i="1" s="1"/>
  <c r="B26" i="1"/>
  <c r="C26" i="1" s="1"/>
  <c r="E30" i="3" l="1"/>
  <c r="E21" i="5"/>
  <c r="E20" i="5"/>
  <c r="E29" i="3"/>
  <c r="E13" i="5"/>
  <c r="E10" i="5"/>
  <c r="B48" i="1"/>
  <c r="B70" i="1"/>
  <c r="C70" i="1" s="1"/>
  <c r="B68" i="1"/>
  <c r="C68" i="1" s="1"/>
  <c r="B64" i="1"/>
  <c r="E42" i="1"/>
  <c r="B58" i="1"/>
  <c r="D42" i="1"/>
  <c r="E15" i="5"/>
  <c r="B27" i="1"/>
  <c r="C29" i="1"/>
  <c r="D28" i="1"/>
  <c r="B34" i="1"/>
  <c r="C34" i="1" s="1"/>
  <c r="C32" i="1"/>
  <c r="C30" i="1"/>
  <c r="D22" i="1"/>
  <c r="C23" i="1"/>
  <c r="D26" i="1"/>
  <c r="D25" i="1"/>
  <c r="C22" i="1"/>
  <c r="C28" i="1"/>
  <c r="D32" i="1"/>
  <c r="D30" i="1"/>
  <c r="B35" i="1"/>
  <c r="E8" i="5" s="1"/>
  <c r="E46" i="1"/>
  <c r="D44" i="1"/>
  <c r="C45" i="1"/>
  <c r="C61" i="1"/>
  <c r="E44" i="1"/>
  <c r="C44" i="1"/>
  <c r="D46" i="1"/>
  <c r="E45" i="1"/>
  <c r="D43" i="1"/>
  <c r="C43" i="1"/>
  <c r="E43" i="1"/>
  <c r="B47" i="1"/>
  <c r="E61" i="1"/>
  <c r="B57" i="1"/>
  <c r="B60" i="1"/>
  <c r="B62" i="1"/>
  <c r="B67" i="1"/>
  <c r="B65" i="1"/>
  <c r="B71" i="1"/>
  <c r="C71" i="1" s="1"/>
  <c r="B33" i="1"/>
  <c r="E7" i="5" s="1"/>
  <c r="E19" i="3"/>
  <c r="E22" i="3"/>
  <c r="E17" i="3"/>
  <c r="E24" i="3"/>
  <c r="B31" i="1"/>
  <c r="B63" i="1" l="1"/>
  <c r="D63" i="1" s="1"/>
  <c r="B59" i="1"/>
  <c r="C59" i="1" s="1"/>
  <c r="B49" i="1"/>
  <c r="D49" i="1" s="1"/>
  <c r="B69" i="1"/>
  <c r="C69" i="1" s="1"/>
  <c r="B50" i="1"/>
  <c r="D50" i="1" s="1"/>
  <c r="D48" i="1"/>
  <c r="E48" i="1"/>
  <c r="C48" i="1"/>
  <c r="D67" i="1"/>
  <c r="C67" i="1"/>
  <c r="E58" i="1"/>
  <c r="D58" i="1"/>
  <c r="C58" i="1"/>
  <c r="C64" i="1"/>
  <c r="D64" i="1"/>
  <c r="E64" i="1"/>
  <c r="E68" i="1"/>
  <c r="D68" i="1"/>
  <c r="E70" i="1"/>
  <c r="D70" i="1"/>
  <c r="E11" i="5"/>
  <c r="D27" i="1"/>
  <c r="C27" i="1"/>
  <c r="D34" i="1"/>
  <c r="C24" i="1"/>
  <c r="D24" i="1"/>
  <c r="C33" i="1"/>
  <c r="D33" i="1"/>
  <c r="D31" i="1"/>
  <c r="C31" i="1"/>
  <c r="C35" i="1"/>
  <c r="D35" i="1"/>
  <c r="D62" i="1"/>
  <c r="C62" i="1"/>
  <c r="D57" i="1"/>
  <c r="C57" i="1"/>
  <c r="D65" i="1"/>
  <c r="C65" i="1"/>
  <c r="D60" i="1"/>
  <c r="C60" i="1"/>
  <c r="E71" i="1"/>
  <c r="D71" i="1"/>
  <c r="C47" i="1"/>
  <c r="D47" i="1"/>
  <c r="E47" i="1"/>
  <c r="E57" i="1"/>
  <c r="E65" i="1"/>
  <c r="E67" i="1"/>
  <c r="E62" i="1"/>
  <c r="E60" i="1"/>
  <c r="E21" i="3"/>
  <c r="E20" i="3"/>
  <c r="E59" i="1" l="1"/>
  <c r="B72" i="1"/>
  <c r="C72" i="1" s="1"/>
  <c r="D59" i="1"/>
  <c r="E69" i="1"/>
  <c r="E72" i="1"/>
  <c r="E50" i="1"/>
  <c r="B52" i="1"/>
  <c r="E49" i="1"/>
  <c r="B53" i="1" s="1"/>
  <c r="C63" i="1"/>
  <c r="C50" i="1"/>
  <c r="B66" i="1"/>
  <c r="D66" i="1" s="1"/>
  <c r="E66" i="1"/>
  <c r="D69" i="1"/>
  <c r="E63" i="1"/>
  <c r="C49" i="1"/>
  <c r="D72" i="1" l="1"/>
  <c r="C6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<sst xmlns="http://schemas.openxmlformats.org/spreadsheetml/2006/main" count="417" uniqueCount="279">
  <si>
    <t>Name</t>
  </si>
  <si>
    <t>Top</t>
  </si>
  <si>
    <t>Outside</t>
  </si>
  <si>
    <t>Bottom</t>
  </si>
  <si>
    <t>No</t>
  </si>
  <si>
    <t>Margin Preset</t>
  </si>
  <si>
    <t>Output</t>
  </si>
  <si>
    <t>Inside Margin</t>
  </si>
  <si>
    <t>Outside Margin</t>
  </si>
  <si>
    <t>Gutter Size</t>
  </si>
  <si>
    <t>Top Margin</t>
  </si>
  <si>
    <t>Bottom Margin</t>
  </si>
  <si>
    <t>Total Page Height</t>
  </si>
  <si>
    <t>Standard</t>
  </si>
  <si>
    <t>Tight</t>
  </si>
  <si>
    <t>Spacious</t>
  </si>
  <si>
    <r>
      <t xml:space="preserve">Set your </t>
    </r>
    <r>
      <rPr>
        <b/>
        <sz val="11"/>
        <color theme="1"/>
        <rFont val="Calibri"/>
        <family val="2"/>
        <scheme val="minor"/>
      </rPr>
      <t>Word document page size to exactly match your chosen trim size</t>
    </r>
    <r>
      <rPr>
        <sz val="11"/>
        <color theme="1"/>
        <rFont val="Calibri"/>
        <family val="2"/>
        <scheme val="minor"/>
      </rPr>
      <t xml:space="preserve"> (e.g., 5" x 8").</t>
    </r>
  </si>
  <si>
    <r>
      <t xml:space="preserve">If your book includes bleed (images extending to the edge), you should use a design tool that supports bleed (like InDesign or Canva) and set the </t>
    </r>
    <r>
      <rPr>
        <b/>
        <sz val="11"/>
        <color theme="1"/>
        <rFont val="Calibri"/>
        <family val="2"/>
        <scheme val="minor"/>
      </rPr>
      <t>page size to include bleed</t>
    </r>
    <r>
      <rPr>
        <sz val="11"/>
        <color theme="1"/>
        <rFont val="Calibri"/>
        <family val="2"/>
        <scheme val="minor"/>
      </rPr>
      <t xml:space="preserve"> (e.g., 5.125" x 8.25"). MS Word does </t>
    </r>
    <r>
      <rPr>
        <b/>
        <sz val="11"/>
        <color theme="1"/>
        <rFont val="Calibri"/>
        <family val="2"/>
        <scheme val="minor"/>
      </rPr>
      <t>not</t>
    </r>
    <r>
      <rPr>
        <sz val="11"/>
        <color theme="1"/>
        <rFont val="Calibri"/>
        <family val="2"/>
        <scheme val="minor"/>
      </rPr>
      <t xml:space="preserve"> support bleed areas directly.</t>
    </r>
  </si>
  <si>
    <t>Yes</t>
  </si>
  <si>
    <t>Bleed</t>
  </si>
  <si>
    <t>KDP Trim Size calculator</t>
  </si>
  <si>
    <t>Inches</t>
  </si>
  <si>
    <t>mm</t>
  </si>
  <si>
    <t>Trim Size Name (inches)</t>
  </si>
  <si>
    <r>
      <t xml:space="preserve">The </t>
    </r>
    <r>
      <rPr>
        <b/>
        <sz val="11"/>
        <color theme="1"/>
        <rFont val="Calibri"/>
        <family val="2"/>
        <scheme val="minor"/>
      </rPr>
      <t>top margin</t>
    </r>
    <r>
      <rPr>
        <sz val="11"/>
        <color theme="1"/>
        <rFont val="Calibri"/>
        <family val="2"/>
        <scheme val="minor"/>
      </rPr>
      <t xml:space="preserve"> must include enough space for the header.</t>
    </r>
  </si>
  <si>
    <r>
      <t xml:space="preserve">The </t>
    </r>
    <r>
      <rPr>
        <b/>
        <sz val="11"/>
        <color theme="1"/>
        <rFont val="Calibri"/>
        <family val="2"/>
        <scheme val="minor"/>
      </rPr>
      <t>bottom margin</t>
    </r>
    <r>
      <rPr>
        <sz val="11"/>
        <color theme="1"/>
        <rFont val="Calibri"/>
        <family val="2"/>
        <scheme val="minor"/>
      </rPr>
      <t xml:space="preserve"> must include enough space for the footer.</t>
    </r>
  </si>
  <si>
    <t>Headers and Footers in Word for KDP</t>
  </si>
  <si>
    <t>Margins</t>
  </si>
  <si>
    <t>Headers / Footers</t>
  </si>
  <si>
    <t>Trim Presets</t>
  </si>
  <si>
    <t>Select</t>
  </si>
  <si>
    <t>None</t>
  </si>
  <si>
    <t>Header Preset</t>
  </si>
  <si>
    <t>Footer Preset</t>
  </si>
  <si>
    <t>Note:</t>
  </si>
  <si>
    <t>Settings (dropdowns)</t>
  </si>
  <si>
    <t>Page Count (Manually enter)</t>
  </si>
  <si>
    <r>
      <t xml:space="preserve">The </t>
    </r>
    <r>
      <rPr>
        <b/>
        <sz val="11"/>
        <color theme="1"/>
        <rFont val="Calibri"/>
        <family val="2"/>
        <scheme val="minor"/>
      </rPr>
      <t>margins</t>
    </r>
    <r>
      <rPr>
        <sz val="11"/>
        <color theme="1"/>
        <rFont val="Calibri"/>
        <family val="2"/>
        <scheme val="minor"/>
      </rPr>
      <t xml:space="preserve"> calculated above fit </t>
    </r>
    <r>
      <rPr>
        <i/>
        <sz val="11"/>
        <color theme="1"/>
        <rFont val="Calibri"/>
        <family val="2"/>
        <scheme val="minor"/>
      </rPr>
      <t>within</t>
    </r>
    <r>
      <rPr>
        <sz val="11"/>
        <color theme="1"/>
        <rFont val="Calibri"/>
        <family val="2"/>
        <scheme val="minor"/>
      </rPr>
      <t xml:space="preserve"> that size. Do </t>
    </r>
    <r>
      <rPr>
        <b/>
        <sz val="11"/>
        <color theme="1"/>
        <rFont val="Calibri"/>
        <family val="2"/>
        <scheme val="minor"/>
      </rPr>
      <t>not</t>
    </r>
    <r>
      <rPr>
        <sz val="11"/>
        <color theme="1"/>
        <rFont val="Calibri"/>
        <family val="2"/>
        <scheme val="minor"/>
      </rPr>
      <t xml:space="preserve"> increase the page size to account for margins or bleed.</t>
    </r>
  </si>
  <si>
    <t>Setting</t>
  </si>
  <si>
    <t>Where in Word</t>
  </si>
  <si>
    <t>Page Width</t>
  </si>
  <si>
    <t>Page Height</t>
  </si>
  <si>
    <t>Gutter</t>
  </si>
  <si>
    <t>Gutter Position</t>
  </si>
  <si>
    <t>Layout &gt; Margins &gt; Custom Margins &gt; Gutter Position</t>
  </si>
  <si>
    <t>Multiple Pages</t>
  </si>
  <si>
    <t>Mirror Margins</t>
  </si>
  <si>
    <t>Header Distance</t>
  </si>
  <si>
    <t>Footer Distance</t>
  </si>
  <si>
    <t>Trim Width (in)</t>
  </si>
  <si>
    <t>Trim Height (in)</t>
  </si>
  <si>
    <t>Value</t>
  </si>
  <si>
    <t>Option</t>
  </si>
  <si>
    <r>
      <t xml:space="preserve">All sizes are in the KDP default unit, </t>
    </r>
    <r>
      <rPr>
        <b/>
        <u/>
        <sz val="12"/>
        <color theme="1"/>
        <rFont val="Calibri"/>
        <family val="2"/>
        <scheme val="minor"/>
      </rPr>
      <t>inches</t>
    </r>
  </si>
  <si>
    <t>cm</t>
  </si>
  <si>
    <t>Header from Top</t>
  </si>
  <si>
    <t>Footer from Bottom</t>
  </si>
  <si>
    <t>Header/footer safety padding</t>
  </si>
  <si>
    <t>Orientation</t>
  </si>
  <si>
    <t>Layout &gt; Orientation</t>
  </si>
  <si>
    <t>Portrait / Landscape</t>
  </si>
  <si>
    <t>Word Inside Margin</t>
  </si>
  <si>
    <t>Mirror margins' makes sure 'inside' and 'outside' margins swap correctly for left and rigth hand pages</t>
  </si>
  <si>
    <t>Section start</t>
  </si>
  <si>
    <t>Section start is usually 'odd' in kdp becase the manuscript does not contain the cover. The firstpage seen is a 'right hand page'.</t>
  </si>
  <si>
    <t>'Odd'</t>
  </si>
  <si>
    <t>Clicking 'set to default' after changing this will help stay consistent throughout the document, but be aware it updates the 'normal' template so it will affect all future word docs as well.</t>
  </si>
  <si>
    <t>first Page side</t>
  </si>
  <si>
    <t>General convention for most books is for all new chapters to start on the right, or 'odd' pages.</t>
  </si>
  <si>
    <t>Layout &gt; size &gt; more paper sizes &gt; section</t>
  </si>
  <si>
    <t>Layout &gt; Size &gt; More Paper Sizes</t>
  </si>
  <si>
    <t xml:space="preserve">Layout &gt; Margins &gt; Custom Margins </t>
  </si>
  <si>
    <t>Layout &gt; Margins &gt; Custom Margins</t>
  </si>
  <si>
    <t>'Mirror Margins'</t>
  </si>
  <si>
    <t>Yes / No Select</t>
  </si>
  <si>
    <t>When 'mirror margins' is active, 'Layout &gt; Margins &gt; Custom Margins &gt; Gutter Position' is greyed out and cannot be changed.</t>
  </si>
  <si>
    <t>Double-click header → Header &amp; Footer menu</t>
  </si>
  <si>
    <t>'Default'</t>
  </si>
  <si>
    <t xml:space="preserve"> Gutter Position</t>
  </si>
  <si>
    <t xml:space="preserve"> </t>
  </si>
  <si>
    <t>Paperback</t>
  </si>
  <si>
    <t>Hardcover</t>
  </si>
  <si>
    <t>Binding</t>
  </si>
  <si>
    <t>Width (in)</t>
  </si>
  <si>
    <t>Height (in)</t>
  </si>
  <si>
    <t>US Trade / Royal</t>
  </si>
  <si>
    <t>A4</t>
  </si>
  <si>
    <t>UK Royal</t>
  </si>
  <si>
    <t>Max Pages</t>
  </si>
  <si>
    <t>Black &amp; White (cream)</t>
  </si>
  <si>
    <t>Black &amp; White (white)</t>
  </si>
  <si>
    <t>Color (standard)</t>
  </si>
  <si>
    <t>Color (premium)</t>
  </si>
  <si>
    <t>Cover</t>
  </si>
  <si>
    <t>Paper type (for cover)</t>
  </si>
  <si>
    <t>Spine Multiplier</t>
  </si>
  <si>
    <t>Spine size</t>
  </si>
  <si>
    <t>SpineFactor</t>
  </si>
  <si>
    <t>DPI</t>
  </si>
  <si>
    <t>Cover DPI</t>
  </si>
  <si>
    <t>Pixels</t>
  </si>
  <si>
    <t>300 dpi (KDP Default)</t>
  </si>
  <si>
    <t>600 dpi (Fine Quality)</t>
  </si>
  <si>
    <t>150 dpi (Draft)</t>
  </si>
  <si>
    <t>Final Cover size:</t>
  </si>
  <si>
    <t>Cover Bleed</t>
  </si>
  <si>
    <t>Left Bleed:</t>
  </si>
  <si>
    <t>left hinge:</t>
  </si>
  <si>
    <t>Spine</t>
  </si>
  <si>
    <t>Right hinge:</t>
  </si>
  <si>
    <t>Right Bleed</t>
  </si>
  <si>
    <t>Top Bleed:</t>
  </si>
  <si>
    <t>Bottom Bleed:</t>
  </si>
  <si>
    <t>Elements:</t>
  </si>
  <si>
    <t>Total Cover width</t>
  </si>
  <si>
    <t>Total Cover height</t>
  </si>
  <si>
    <t>Cover Panel Height:</t>
  </si>
  <si>
    <t>Left (rear) Cover Panel:</t>
  </si>
  <si>
    <t>Right (front) Cover Panel:</t>
  </si>
  <si>
    <t>DPI Setting:</t>
  </si>
  <si>
    <t>Total Width:</t>
  </si>
  <si>
    <t>Total Height</t>
  </si>
  <si>
    <t>Hinge gaps (1)</t>
  </si>
  <si>
    <t>Edge Bleed (1)</t>
  </si>
  <si>
    <t>Interior Bleed</t>
  </si>
  <si>
    <t>12.7 x 20.32 cm</t>
  </si>
  <si>
    <t>12.85 x 19.84 cm</t>
  </si>
  <si>
    <t>13.34 x 20.32 cm</t>
  </si>
  <si>
    <t>13.97 x 21.59 cm</t>
  </si>
  <si>
    <t>15.24 x 22.86 cm</t>
  </si>
  <si>
    <t>15.6 x 23.39 cm</t>
  </si>
  <si>
    <t>16.99 x 24.41 cm</t>
  </si>
  <si>
    <t>17.78 x 25.4 cm</t>
  </si>
  <si>
    <t>18.9 x 24.61 cm</t>
  </si>
  <si>
    <t>19.05 x 23.5 cm</t>
  </si>
  <si>
    <t>20.32 x 25.4 cm</t>
  </si>
  <si>
    <t>20.96 x 15.24 cm</t>
  </si>
  <si>
    <t>20.96 x 20.96 cm</t>
  </si>
  <si>
    <t>21.59 x 21.59 cm</t>
  </si>
  <si>
    <t>21.59 x 27.94 cm</t>
  </si>
  <si>
    <t>21 x 29.7 cm</t>
  </si>
  <si>
    <t>20.96 x 27.94 cm</t>
  </si>
  <si>
    <t>CM</t>
  </si>
  <si>
    <t>5" x 8" Paperback</t>
  </si>
  <si>
    <t>5.06" x 7.81" Paperback</t>
  </si>
  <si>
    <t>5.25" x 8" Paperback</t>
  </si>
  <si>
    <t>5.5" x 8.5" Paperback</t>
  </si>
  <si>
    <t>6" x 9" Paperback</t>
  </si>
  <si>
    <t>6.14" x 9.21" Paperback</t>
  </si>
  <si>
    <t>6.69" x 9.61" Paperback</t>
  </si>
  <si>
    <t>7" x 10" Paperback</t>
  </si>
  <si>
    <t>7.44" x 9.69" Paperback</t>
  </si>
  <si>
    <t>7.5" x 9.25" Paperback</t>
  </si>
  <si>
    <t>8" x 10" Paperback</t>
  </si>
  <si>
    <t>8.25" x 6" Paperback</t>
  </si>
  <si>
    <t>8.25" x 8.25" Paperback</t>
  </si>
  <si>
    <t>8.5" x 8.5" Paperback</t>
  </si>
  <si>
    <t>8.5" x 11" Paperback</t>
  </si>
  <si>
    <t>8.27" x 11.69" Paperback</t>
  </si>
  <si>
    <t>5.5" x 8.5" Hardcover</t>
  </si>
  <si>
    <t>6" x 9" Hardcover</t>
  </si>
  <si>
    <t>6.14" x 9.21" Hardcover</t>
  </si>
  <si>
    <t>7" x 10" Hardcover</t>
  </si>
  <si>
    <t>8.25" x 11" Hardcover</t>
  </si>
  <si>
    <t>US Letter</t>
  </si>
  <si>
    <t>Small Trade / Digest</t>
  </si>
  <si>
    <t>Executive (North America)</t>
  </si>
  <si>
    <t>Crown Quarto / Demy</t>
  </si>
  <si>
    <t>* Interior bleed is optional,not used for word .doc or .docx files. Included here for future proofing and pdf format</t>
  </si>
  <si>
    <t>Formats</t>
  </si>
  <si>
    <t>Interior Bleed?</t>
  </si>
  <si>
    <t>Cover Bleed?</t>
  </si>
  <si>
    <t>.pdf</t>
  </si>
  <si>
    <t>.docx (MS Word)</t>
  </si>
  <si>
    <t>File Format (Software)</t>
  </si>
  <si>
    <t>Bleed around manuscript</t>
  </si>
  <si>
    <t>Bleed around Cover</t>
  </si>
  <si>
    <t>Very few numbers are rounded.</t>
  </si>
  <si>
    <t>All other rounding is only done for visual purposes</t>
  </si>
  <si>
    <t>Rounding</t>
  </si>
  <si>
    <t>Pixels are permanently rounded after final conversion from the inch values using ROUNDUP(2)</t>
  </si>
  <si>
    <t>Inches or mm?</t>
  </si>
  <si>
    <t>Total Page Width (1 page)</t>
  </si>
  <si>
    <t>Total Document Width (2 pages)</t>
  </si>
  <si>
    <t>We assume 'Mirror margins are turned on'</t>
  </si>
  <si>
    <t>What does this support?</t>
  </si>
  <si>
    <t>There is rudimentary support for other formats (pdf such as indesign to start with) and it is really easy to extend.</t>
  </si>
  <si>
    <t>BLEED</t>
  </si>
  <si>
    <t>If you are uploading in .docx format, there is no bleed</t>
  </si>
  <si>
    <t>You can still use word with bleed, if you export as a pdf file.</t>
  </si>
  <si>
    <t>Trim Width (writable area)</t>
  </si>
  <si>
    <t>Trim Height (writable area)</t>
  </si>
  <si>
    <t>Inside</t>
  </si>
  <si>
    <t>Word Outside Margin</t>
  </si>
  <si>
    <t>Inside margin with Gutter</t>
  </si>
  <si>
    <t>We do not do that - we use the built in 'gutter' setting in the layout settings to account for it properly</t>
  </si>
  <si>
    <t>Inside edges (by the spine) have to have a gutter to account for how the book is bound.</t>
  </si>
  <si>
    <t>The basic KDP guides simply add the gutter onto the inside margin, so the inside margin is bigger.</t>
  </si>
  <si>
    <t>If you want to do it the basic way by just inflating the inside margin, the information is included in the calculator so you still can.</t>
  </si>
  <si>
    <t>Printable overhang?</t>
  </si>
  <si>
    <t>Printable Overhang</t>
  </si>
  <si>
    <t>Left Overhang</t>
  </si>
  <si>
    <t>Right Overhang</t>
  </si>
  <si>
    <t>Top Overhang</t>
  </si>
  <si>
    <t>Bottom Overhang</t>
  </si>
  <si>
    <t xml:space="preserve">It can be changed for each trim, but currently kdp requires all hardcovers to have a 0.125 overhang. </t>
  </si>
  <si>
    <t>Printable overhang, or 'hardcover overhang' is where the hardcover extends in a lip past the pages ov the book.</t>
  </si>
  <si>
    <t>This is not needed for paperback covers.</t>
  </si>
  <si>
    <t>Printable overhang (covers)</t>
  </si>
  <si>
    <t>Cover / Paper Types</t>
  </si>
  <si>
    <t>Header from top</t>
  </si>
  <si>
    <t>Footer from bottom</t>
  </si>
  <si>
    <r>
      <t xml:space="preserve">If your header is larger than the available space, </t>
    </r>
    <r>
      <rPr>
        <b/>
        <sz val="11"/>
        <color theme="1"/>
        <rFont val="Calibri"/>
        <family val="2"/>
        <scheme val="minor"/>
      </rPr>
      <t>Word will automatically push the body text down</t>
    </r>
    <r>
      <rPr>
        <sz val="11"/>
        <color theme="1"/>
        <rFont val="Calibri"/>
        <family val="2"/>
        <scheme val="minor"/>
      </rPr>
      <t xml:space="preserve"> to avoid overlap — but we recommend </t>
    </r>
    <r>
      <rPr>
        <b/>
        <sz val="11"/>
        <color theme="1"/>
        <rFont val="Calibri"/>
        <family val="2"/>
        <scheme val="minor"/>
      </rPr>
      <t>keeping your header content within the top margin</t>
    </r>
    <r>
      <rPr>
        <sz val="11"/>
        <color theme="1"/>
        <rFont val="Calibri"/>
        <family val="2"/>
        <scheme val="minor"/>
      </rPr>
      <t xml:space="preserve"> to avoid layout surprises.</t>
    </r>
  </si>
  <si>
    <r>
      <t xml:space="preserve">For example, if your </t>
    </r>
    <r>
      <rPr>
        <b/>
        <sz val="11"/>
        <color theme="1"/>
        <rFont val="Calibri"/>
        <family val="2"/>
        <scheme val="minor"/>
      </rPr>
      <t>top margin is 0.25"</t>
    </r>
    <r>
      <rPr>
        <sz val="11"/>
        <color theme="1"/>
        <rFont val="Calibri"/>
        <family val="2"/>
        <scheme val="minor"/>
      </rPr>
      <t xml:space="preserve"> and your header is set to </t>
    </r>
    <r>
      <rPr>
        <b/>
        <sz val="11"/>
        <color theme="1"/>
        <rFont val="Calibri"/>
        <family val="2"/>
        <scheme val="minor"/>
      </rPr>
      <t>0.5" from the top</t>
    </r>
    <r>
      <rPr>
        <sz val="11"/>
        <color theme="1"/>
        <rFont val="Calibri"/>
        <family val="2"/>
        <scheme val="minor"/>
      </rPr>
      <t xml:space="preserve">, then the top margin should be </t>
    </r>
    <r>
      <rPr>
        <b/>
        <sz val="11"/>
        <color theme="1"/>
        <rFont val="Calibri"/>
        <family val="2"/>
        <scheme val="minor"/>
      </rPr>
      <t>at least 0.75"</t>
    </r>
    <r>
      <rPr>
        <sz val="11"/>
        <color theme="1"/>
        <rFont val="Calibri"/>
        <family val="2"/>
        <scheme val="minor"/>
      </rPr>
      <t>.</t>
    </r>
  </si>
  <si>
    <r>
      <t xml:space="preserve">Word allows header/footer distances as small as </t>
    </r>
    <r>
      <rPr>
        <b/>
        <sz val="11"/>
        <color theme="1"/>
        <rFont val="Calibri"/>
        <family val="2"/>
        <scheme val="minor"/>
      </rPr>
      <t>0.1"</t>
    </r>
    <r>
      <rPr>
        <sz val="11"/>
        <color theme="1"/>
        <rFont val="Calibri"/>
        <family val="2"/>
        <scheme val="minor"/>
      </rPr>
      <t xml:space="preserve">, but </t>
    </r>
    <r>
      <rPr>
        <b/>
        <sz val="11"/>
        <color theme="1"/>
        <rFont val="Calibri"/>
        <family val="2"/>
        <scheme val="minor"/>
      </rPr>
      <t>KDP recommends 0.3" or more</t>
    </r>
    <r>
      <rPr>
        <sz val="11"/>
        <color theme="1"/>
        <rFont val="Calibri"/>
        <family val="2"/>
        <scheme val="minor"/>
      </rPr>
      <t xml:space="preserve"> for print safety.</t>
    </r>
  </si>
  <si>
    <t>Header From Top</t>
  </si>
  <si>
    <t>Footer From Bottom</t>
  </si>
  <si>
    <r>
      <t xml:space="preserve">The top and bottom margin values provided in this calculator are </t>
    </r>
    <r>
      <rPr>
        <b/>
        <sz val="11"/>
        <color theme="1"/>
        <rFont val="Calibri"/>
        <family val="2"/>
        <scheme val="minor"/>
      </rPr>
      <t>starting points</t>
    </r>
    <r>
      <rPr>
        <sz val="11"/>
        <color theme="1"/>
        <rFont val="Calibri"/>
        <family val="2"/>
        <scheme val="minor"/>
      </rPr>
      <t xml:space="preserve"> — you’ll likely need to </t>
    </r>
    <r>
      <rPr>
        <b/>
        <sz val="11"/>
        <color theme="1"/>
        <rFont val="Calibri"/>
        <family val="2"/>
        <scheme val="minor"/>
      </rPr>
      <t>tweak them as your header and footer design develops</t>
    </r>
    <r>
      <rPr>
        <sz val="11"/>
        <color theme="1"/>
        <rFont val="Calibri"/>
        <family val="2"/>
        <scheme val="minor"/>
      </rPr>
      <t>.</t>
    </r>
  </si>
  <si>
    <t>You should consider Inches the 'true' value of measurement in kdp. All other measures are just for information. If in doubt, use inches for kdp.</t>
  </si>
  <si>
    <t>Trim Name</t>
  </si>
  <si>
    <t>Cover Panel width (1):</t>
  </si>
  <si>
    <t>Cover Panel height (1):</t>
  </si>
  <si>
    <t>This experimental feature will create a blank Word file with all the settings above.</t>
  </si>
  <si>
    <t>Section Starts</t>
  </si>
  <si>
    <t>Odd</t>
  </si>
  <si>
    <t>Even</t>
  </si>
  <si>
    <t>New page</t>
  </si>
  <si>
    <t>Section Start</t>
  </si>
  <si>
    <t>NewColumn</t>
  </si>
  <si>
    <t>Continuous</t>
  </si>
  <si>
    <t>Note on Page Size for MS Word .docx format</t>
  </si>
  <si>
    <t>That means the page size defind in Word should be the the same as the trim size.</t>
  </si>
  <si>
    <t>PDF files do support bleed.</t>
  </si>
  <si>
    <t>That means the page size defind in Word wll be slightly larger than the trim size in kdp.</t>
  </si>
  <si>
    <t>Manuscript Dimensions</t>
  </si>
  <si>
    <t>Cover Dimensions</t>
  </si>
  <si>
    <t>// Do not edit below this point</t>
  </si>
  <si>
    <r>
      <t xml:space="preserve">The bleed distance Bleed is controlled In the settings tab in </t>
    </r>
    <r>
      <rPr>
        <b/>
        <sz val="11"/>
        <color theme="1"/>
        <rFont val="Calibri"/>
        <family val="2"/>
        <scheme val="minor"/>
      </rPr>
      <t>trim presets &gt; interior bleed</t>
    </r>
    <r>
      <rPr>
        <sz val="11"/>
        <color theme="1"/>
        <rFont val="Calibri"/>
        <family val="2"/>
        <scheme val="minor"/>
      </rPr>
      <t>. By default all trims are set to the KDP recommended 0.125 bleed but you can change it if need be.</t>
    </r>
  </si>
  <si>
    <t>PDF Export</t>
  </si>
  <si>
    <t>.DOCX Export</t>
  </si>
  <si>
    <t>These settings are if you intend to save a word document as a .docx and upload it directly to KDP.</t>
  </si>
  <si>
    <t>You must have MS Word installed. Tested with Office 365 and Office 2024 RTS.</t>
  </si>
  <si>
    <t>This will open your Word software, create the document, then present you with a "Save as" dialogue to save the new template.</t>
  </si>
  <si>
    <t>NOTES</t>
  </si>
  <si>
    <r>
      <t xml:space="preserve">These settings are if you intend to save your word document as a </t>
    </r>
    <r>
      <rPr>
        <b/>
        <sz val="11"/>
        <color theme="1"/>
        <rFont val="Calibri"/>
        <family val="2"/>
        <scheme val="minor"/>
      </rPr>
      <t>pdf</t>
    </r>
    <r>
      <rPr>
        <sz val="11"/>
        <color theme="1"/>
        <rFont val="Calibri"/>
        <family val="2"/>
        <scheme val="minor"/>
      </rPr>
      <t xml:space="preserve"> file, with bleed around the edges of the entire double fold.</t>
    </r>
  </si>
  <si>
    <t>Most other instructions are the same as .docx, except for bleed.</t>
  </si>
  <si>
    <t>Manual Instructions</t>
  </si>
  <si>
    <t>// Change these settings to chage every tab in this workbook.</t>
  </si>
  <si>
    <t xml:space="preserve">Office2KDP – License Information  </t>
  </si>
  <si>
    <t xml:space="preserve">Created by Steve Lownds (https://www.multiplicit.co.uk)  </t>
  </si>
  <si>
    <t>Copyright © 2025 Steve Lownds</t>
  </si>
  <si>
    <t xml:space="preserve">This project is licensed under the  </t>
  </si>
  <si>
    <t>Creative Commons Attribution–NonCommercial 4.0 International License (CC BY-NC 4.0)</t>
  </si>
  <si>
    <t xml:space="preserve">You are free to:  </t>
  </si>
  <si>
    <t xml:space="preserve">Under the following terms:  </t>
  </si>
  <si>
    <t xml:space="preserve">Suggested attribution:  </t>
  </si>
  <si>
    <t>This includes selling the tool, bundling it in commercial software, or charging for access.</t>
  </si>
  <si>
    <t>https://creativecommons.org/licenses/by-nc/4.0/legalcode</t>
  </si>
  <si>
    <t xml:space="preserve">This tool is provided “as-is” without any warranty.  </t>
  </si>
  <si>
    <t xml:space="preserve">- Share – copy and redistribute the material in any medium or format  </t>
  </si>
  <si>
    <t xml:space="preserve">-Adapt – remix, transform, and build upon the material  </t>
  </si>
  <si>
    <t xml:space="preserve">- Attribution – You must give appropriate credit, provide a link to the license, and indicate if changes were made.  </t>
  </si>
  <si>
    <t xml:space="preserve">-NonCommercial – You may not use this material for commercial purposes.  </t>
  </si>
  <si>
    <t xml:space="preserve">- You are allowed to use this tool to create commercial books, manuscripts, or content.  </t>
  </si>
  <si>
    <t xml:space="preserve">- Full license text:  </t>
  </si>
  <si>
    <t xml:space="preserve">- No Warranty Disclaimer:  </t>
  </si>
  <si>
    <t>https://github.com/multiplicit-com/Office2KDP/</t>
  </si>
  <si>
    <t>This calculator was originally built for MS Word.</t>
  </si>
  <si>
    <t>“Based on Office2KDP by Steven Lownds – https://github.com/multiplicit-com/Office2KDP/”</t>
  </si>
  <si>
    <t>You just can't commercialize or sell the tool itself, inlcuding derivative works.</t>
  </si>
  <si>
    <t>Use at your own risk. The author is not responsible for formatting errors, data loss, or publishing issues that may result from use of this tool.</t>
  </si>
  <si>
    <t>https://creativecommons.org/licenses/by-nc/4.0/</t>
  </si>
  <si>
    <t>* Manually entered. At least 0.1" recommended</t>
  </si>
  <si>
    <t>Make sure the 'File Format' in the 'Your Document' tab is set to '.docx'.</t>
  </si>
  <si>
    <t>This screen does not include Bleed, even if it is set in the "Your Document" tab</t>
  </si>
  <si>
    <t xml:space="preserve"> Create Word File</t>
  </si>
  <si>
    <t>This tab contains settings for all dropdowns and lookups.</t>
  </si>
  <si>
    <t>You should not need to change this tab for normal use, just if you extend the file.</t>
  </si>
  <si>
    <t>* 'Odd' recommended for most projects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</si>
</sst>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0.000"/>
    <numFmt numFmtId="166" formatCode="0.0000"/>
    <numFmt numFmtId="167" formatCode="0.00000"/>
    <numFmt numFmtId="168" formatCode="0.000000"/>
  </numFmts>
  <fonts count="20">
    <font>
      <sz val="11"/>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b/>
      <sz val="11"/>
      <color theme="1"/>
      <name val="Calibri"/>
      <family val="2"/>
      <scheme val="minor"/>
    </font>
    <font>
      <b/>
      <sz val="13.5"/>
      <color theme="1"/>
      <name val="Calibri"/>
      <family val="2"/>
      <scheme val="minor"/>
    </font>
    <font>
      <i/>
      <sz val="11"/>
      <color theme="1"/>
      <name val="Calibri"/>
      <family val="2"/>
      <scheme val="minor"/>
    </font>
    <font>
      <b/>
      <sz val="12"/>
      <color theme="1"/>
      <name val="Calibri"/>
      <family val="2"/>
      <scheme val="minor"/>
    </font>
    <font>
      <b/>
      <sz val="18"/>
      <color theme="1"/>
      <name val="Calibri"/>
      <family val="2"/>
      <scheme val="minor"/>
    </font>
    <font>
      <sz val="10"/>
      <color theme="1"/>
      <name val="Arial Unicode MS"/>
    </font>
    <font>
      <b/>
      <u/>
      <sz val="12"/>
      <color theme="1"/>
      <name val="Calibri"/>
      <family val="2"/>
      <scheme val="minor"/>
    </font>
    <font>
      <b/>
      <sz val="14"/>
      <color theme="0"/>
      <name val="Calibri"/>
      <family val="2"/>
      <scheme val="minor"/>
    </font>
    <font>
      <b/>
      <sz val="14"/>
      <color theme="1" tint="0.499984740745262"/>
      <name val="Calibri"/>
      <family val="2"/>
      <scheme val="minor"/>
    </font>
    <font>
      <sz val="8"/>
      <name val="Calibri"/>
      <family val="2"/>
      <scheme val="minor"/>
    </font>
    <font>
      <sz val="11"/>
      <color rgb="FF000000"/>
      <name val="Calibri"/>
      <family val="2"/>
    </font>
    <font>
      <sz val="11"/>
      <color rgb="FFFF0000"/>
      <name val="Calibri"/>
      <family val="2"/>
      <scheme val="minor"/>
    </font>
    <font>
      <b/>
      <sz val="16"/>
      <color theme="1"/>
      <name val="Calibri"/>
      <family val="2"/>
      <scheme val="minor"/>
    </font>
    <font>
      <sz val="11"/>
      <color rgb="FF00B050"/>
      <name val="Calibri"/>
      <family val="2"/>
      <scheme val="minor"/>
    </font>
    <font>
      <u/>
      <sz val="11"/>
      <color theme="10"/>
      <name val="Calibri"/>
      <family val="2"/>
      <scheme val="minor"/>
    </font>
  </fonts>
  <fills count="3">
    <fill>
      <patternFill patternType="none"/>
    </fill>
    <fill>
      <patternFill patternType="gray125"/>
    </fill>
    <fill>
      <patternFill patternType="solid">
        <fgColor theme="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43" fontId="4" fillId="0" borderId="0" applyFont="0" applyFill="0" applyBorder="0" applyAlignment="0" applyProtection="0"/>
    <xf numFmtId="0" fontId="19" fillId="0" borderId="0" applyNumberFormat="0" applyFill="0" applyBorder="0" applyAlignment="0" applyProtection="0"/>
  </cellStyleXfs>
  <cellXfs count="69">
    <xf numFmtId="0" fontId="0" fillId="0" borderId="0" xfId="0"/>
    <xf numFmtId="0" fontId="1" fillId="0" borderId="0" xfId="0" applyFont="1"/>
    <xf numFmtId="0" fontId="0" fillId="0" borderId="0" xfId="0" applyAlignment="1">
      <alignment vertical="center"/>
    </xf>
    <xf numFmtId="0" fontId="6" fillId="0" borderId="0" xfId="0" applyFont="1" applyAlignment="1">
      <alignment vertical="center"/>
    </xf>
    <xf numFmtId="0" fontId="0" fillId="0" borderId="0" xfId="0" applyAlignment="1">
      <alignment horizontal="left" vertical="center" indent="1"/>
    </xf>
    <xf numFmtId="0" fontId="3" fillId="0" borderId="0" xfId="0" applyFont="1" applyAlignment="1">
      <alignment horizontal="center" vertical="center"/>
    </xf>
    <xf numFmtId="0" fontId="1" fillId="0" borderId="0" xfId="0" applyFont="1" applyAlignment="1">
      <alignment vertical="center"/>
    </xf>
    <xf numFmtId="0" fontId="0" fillId="0" borderId="0" xfId="0" applyAlignment="1">
      <alignment horizontal="left" vertical="center"/>
    </xf>
    <xf numFmtId="0" fontId="9" fillId="0" borderId="0" xfId="0" applyFont="1"/>
    <xf numFmtId="0" fontId="0" fillId="0" borderId="0" xfId="0" applyAlignment="1">
      <alignment horizontal="center" vertical="center" wrapText="1"/>
    </xf>
    <xf numFmtId="0" fontId="5" fillId="0" borderId="0" xfId="0" applyFont="1" applyAlignment="1">
      <alignment horizontal="center" vertical="center" wrapText="1"/>
    </xf>
    <xf numFmtId="0" fontId="0" fillId="0" borderId="0" xfId="0" applyAlignment="1">
      <alignment vertical="center" wrapText="1"/>
    </xf>
    <xf numFmtId="0" fontId="10" fillId="0" borderId="0" xfId="0" applyFont="1" applyAlignment="1">
      <alignment vertical="center" wrapText="1"/>
    </xf>
    <xf numFmtId="0" fontId="1" fillId="0" borderId="0" xfId="0" applyFont="1" applyAlignment="1">
      <alignment horizontal="center" vertical="center" wrapText="1"/>
    </xf>
    <xf numFmtId="0" fontId="1" fillId="2" borderId="1" xfId="0" applyFont="1" applyFill="1" applyBorder="1" applyAlignment="1">
      <alignment horizontal="center" vertical="center" wrapText="1"/>
    </xf>
    <xf numFmtId="0" fontId="1" fillId="0" borderId="0" xfId="0" applyFont="1" applyAlignment="1">
      <alignment horizontal="left" vertical="center" wrapText="1"/>
    </xf>
    <xf numFmtId="0" fontId="2" fillId="0" borderId="0" xfId="0" applyFont="1" applyAlignment="1">
      <alignment horizontal="left" vertical="center" indent="1"/>
    </xf>
    <xf numFmtId="0" fontId="1" fillId="2" borderId="1" xfId="0" quotePrefix="1" applyFont="1" applyFill="1" applyBorder="1" applyAlignment="1">
      <alignment horizontal="center" vertical="center" wrapText="1"/>
    </xf>
    <xf numFmtId="0" fontId="0" fillId="0" borderId="0" xfId="0" quotePrefix="1" applyAlignment="1">
      <alignment horizontal="left" vertical="center" indent="1"/>
    </xf>
    <xf numFmtId="0" fontId="2" fillId="0" borderId="0" xfId="0" applyFont="1" applyAlignment="1">
      <alignment horizontal="left" vertical="center"/>
    </xf>
    <xf numFmtId="0" fontId="2" fillId="0" borderId="0" xfId="0" applyFont="1" applyBorder="1" applyAlignment="1">
      <alignment horizontal="left" vertical="center"/>
    </xf>
    <xf numFmtId="0" fontId="8" fillId="0" borderId="0" xfId="0" applyFont="1" applyAlignment="1">
      <alignment horizontal="left" vertical="center"/>
    </xf>
    <xf numFmtId="0" fontId="13" fillId="2" borderId="1" xfId="0" quotePrefix="1" applyFont="1" applyFill="1" applyBorder="1" applyAlignment="1">
      <alignment horizontal="center" vertical="center" wrapText="1"/>
    </xf>
    <xf numFmtId="0" fontId="12" fillId="0" borderId="0" xfId="0" applyFont="1" applyAlignment="1">
      <alignment horizontal="center" vertical="center"/>
    </xf>
    <xf numFmtId="2" fontId="3" fillId="0" borderId="0" xfId="0" applyNumberFormat="1" applyFont="1" applyAlignment="1">
      <alignment horizontal="center" vertical="center"/>
    </xf>
    <xf numFmtId="0" fontId="0" fillId="0" borderId="0" xfId="0" applyFont="1"/>
    <xf numFmtId="0" fontId="0" fillId="0" borderId="0" xfId="0" applyFont="1" applyAlignment="1">
      <alignment horizontal="center"/>
    </xf>
    <xf numFmtId="0" fontId="0" fillId="0" borderId="0" xfId="0" applyFont="1" applyAlignment="1">
      <alignment horizontal="left" vertical="center" indent="1"/>
    </xf>
    <xf numFmtId="0" fontId="0" fillId="0" borderId="0" xfId="0" applyFont="1" applyBorder="1" applyAlignment="1">
      <alignment horizontal="center"/>
    </xf>
    <xf numFmtId="0" fontId="0" fillId="0" borderId="0" xfId="0" applyFont="1" applyAlignment="1">
      <alignment horizontal="left"/>
    </xf>
    <xf numFmtId="0" fontId="0" fillId="0" borderId="0" xfId="0" applyFont="1" applyBorder="1" applyAlignment="1">
      <alignment horizontal="left"/>
    </xf>
    <xf numFmtId="0" fontId="0" fillId="0" borderId="0" xfId="0" applyBorder="1" applyAlignment="1">
      <alignment vertical="center"/>
    </xf>
    <xf numFmtId="0" fontId="3" fillId="2" borderId="1" xfId="0" applyFont="1" applyFill="1" applyBorder="1" applyAlignment="1">
      <alignment horizontal="left" vertical="center"/>
    </xf>
    <xf numFmtId="0" fontId="12" fillId="0" borderId="0" xfId="0" applyFont="1" applyAlignment="1">
      <alignment horizontal="left" vertical="center"/>
    </xf>
    <xf numFmtId="0" fontId="0" fillId="0" borderId="3" xfId="0" applyBorder="1" applyAlignment="1">
      <alignment vertical="center"/>
    </xf>
    <xf numFmtId="166" fontId="3" fillId="0" borderId="0" xfId="0" applyNumberFormat="1" applyFont="1" applyAlignment="1">
      <alignment horizontal="center" vertical="center"/>
    </xf>
    <xf numFmtId="1" fontId="3" fillId="0" borderId="0" xfId="0" applyNumberFormat="1" applyFont="1" applyAlignment="1">
      <alignment horizontal="center" vertical="center"/>
    </xf>
    <xf numFmtId="43" fontId="1" fillId="0" borderId="0" xfId="1" applyNumberFormat="1" applyFont="1" applyAlignment="1">
      <alignment horizontal="center" vertical="center"/>
    </xf>
    <xf numFmtId="2" fontId="1" fillId="0" borderId="0" xfId="1" applyNumberFormat="1" applyFont="1" applyAlignment="1">
      <alignment horizontal="center" vertical="center"/>
    </xf>
    <xf numFmtId="0" fontId="3" fillId="0" borderId="0" xfId="0" applyFont="1" applyAlignment="1">
      <alignment horizontal="right"/>
    </xf>
    <xf numFmtId="165" fontId="3" fillId="0" borderId="0" xfId="0" applyNumberFormat="1" applyFont="1" applyAlignment="1">
      <alignment horizontal="center" vertical="center"/>
    </xf>
    <xf numFmtId="164" fontId="3" fillId="0" borderId="0" xfId="0" applyNumberFormat="1" applyFont="1" applyAlignment="1">
      <alignment horizontal="center" vertical="center"/>
    </xf>
    <xf numFmtId="167" fontId="3" fillId="0" borderId="0" xfId="0" applyNumberFormat="1" applyFont="1" applyAlignment="1">
      <alignment horizontal="center" vertical="center"/>
    </xf>
    <xf numFmtId="168" fontId="3" fillId="0" borderId="0" xfId="0" applyNumberFormat="1" applyFont="1" applyAlignment="1">
      <alignment horizontal="center" vertical="center"/>
    </xf>
    <xf numFmtId="0" fontId="7" fillId="0" borderId="0" xfId="0" applyFont="1"/>
    <xf numFmtId="0" fontId="3" fillId="2" borderId="2" xfId="0" applyFont="1" applyFill="1" applyBorder="1" applyAlignment="1">
      <alignment horizontal="left" vertical="center"/>
    </xf>
    <xf numFmtId="2" fontId="1" fillId="2" borderId="0" xfId="0" applyNumberFormat="1" applyFont="1" applyFill="1" applyAlignment="1">
      <alignment horizontal="center" vertical="center"/>
    </xf>
    <xf numFmtId="1" fontId="1" fillId="2" borderId="0" xfId="0" applyNumberFormat="1" applyFont="1" applyFill="1" applyAlignment="1">
      <alignment horizontal="center" vertical="center"/>
    </xf>
    <xf numFmtId="0" fontId="3" fillId="2" borderId="0" xfId="0" applyFont="1" applyFill="1" applyAlignment="1">
      <alignment horizontal="center" vertical="center"/>
    </xf>
    <xf numFmtId="2" fontId="3" fillId="2" borderId="0" xfId="0" applyNumberFormat="1" applyFont="1" applyFill="1" applyAlignment="1">
      <alignment horizontal="center" vertical="center"/>
    </xf>
    <xf numFmtId="0" fontId="2" fillId="0" borderId="0" xfId="0" applyFont="1" applyAlignment="1">
      <alignment horizontal="center" vertical="center"/>
    </xf>
    <xf numFmtId="0" fontId="1" fillId="2" borderId="0" xfId="0" applyFont="1" applyFill="1"/>
    <xf numFmtId="0" fontId="3" fillId="2" borderId="0" xfId="0" applyFont="1" applyFill="1" applyAlignment="1">
      <alignment vertical="center"/>
    </xf>
    <xf numFmtId="0" fontId="0" fillId="0" borderId="0" xfId="0" quotePrefix="1"/>
    <xf numFmtId="2" fontId="3" fillId="0" borderId="0" xfId="0" applyNumberFormat="1" applyFont="1" applyAlignment="1">
      <alignment horizontal="left" vertical="center"/>
    </xf>
    <xf numFmtId="0" fontId="16" fillId="0" borderId="0" xfId="0" applyFont="1"/>
    <xf numFmtId="0" fontId="10" fillId="2" borderId="4" xfId="0" applyFont="1" applyFill="1" applyBorder="1" applyAlignment="1">
      <alignment vertical="center" wrapText="1"/>
    </xf>
    <xf numFmtId="0" fontId="0" fillId="2" borderId="5" xfId="0" applyFill="1" applyBorder="1"/>
    <xf numFmtId="0" fontId="0" fillId="2" borderId="6" xfId="0" applyFill="1" applyBorder="1"/>
    <xf numFmtId="0" fontId="6" fillId="2" borderId="7" xfId="0" applyFont="1" applyFill="1" applyBorder="1" applyAlignment="1">
      <alignment vertical="center"/>
    </xf>
    <xf numFmtId="0" fontId="0" fillId="2" borderId="0" xfId="0" applyFill="1" applyBorder="1"/>
    <xf numFmtId="0" fontId="0" fillId="2" borderId="8" xfId="0" applyFill="1" applyBorder="1"/>
    <xf numFmtId="0" fontId="0" fillId="2" borderId="7" xfId="0" applyFill="1" applyBorder="1" applyAlignment="1">
      <alignment horizontal="left" vertical="center" indent="1"/>
    </xf>
    <xf numFmtId="0" fontId="0" fillId="2" borderId="9" xfId="0" applyFill="1" applyBorder="1" applyAlignment="1">
      <alignment horizontal="left" vertical="center" indent="1"/>
    </xf>
    <xf numFmtId="0" fontId="0" fillId="2" borderId="10" xfId="0" applyFill="1" applyBorder="1"/>
    <xf numFmtId="0" fontId="0" fillId="2" borderId="11" xfId="0" applyFill="1" applyBorder="1"/>
    <xf numFmtId="0" fontId="17" fillId="0" borderId="0" xfId="0" applyFont="1" applyAlignment="1">
      <alignment vertical="center"/>
    </xf>
    <xf numFmtId="0" fontId="18" fillId="0" borderId="0" xfId="0" applyFont="1"/>
    <xf numFmtId="0" fontId="19" fillId="0" borderId="0" xfId="2"/>
  </cellXfs>
  <cellStyles count="3">
    <cellStyle name="Comma" xfId="1" builtinId="3"/>
    <cellStyle name="Hyperlink" xfId="2" builtinId="8"/>
    <cellStyle name="Normal" xfId="0" builtinId="0"/>
  </cellStyles>
  <dxfs count="67">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strike val="0"/>
        <condense val="0"/>
        <extend val="0"/>
        <outline val="0"/>
        <shadow val="0"/>
        <u val="none"/>
        <vertAlign val="baseline"/>
        <sz val="11"/>
        <color theme="1"/>
        <name val="Calibri"/>
        <family val="2"/>
        <scheme val="minor"/>
      </font>
      <alignment horizontal="left" vertical="center" textRotation="0" wrapText="0" indent="1"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center" textRotation="0" wrapText="0" indent="1" justifyLastLine="0" shrinkToFit="0" readingOrder="0"/>
    </dxf>
    <dxf>
      <font>
        <strike val="0"/>
        <outline val="0"/>
        <shadow val="0"/>
        <u val="none"/>
        <vertAlign val="baseline"/>
        <sz val="11"/>
        <color theme="1"/>
        <name val="Calibri"/>
        <family val="2"/>
        <scheme val="minor"/>
      </font>
    </dxf>
    <dxf>
      <font>
        <strike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theme="1"/>
        <name val="Calibri"/>
        <family val="2"/>
        <scheme val="minor"/>
      </font>
      <alignment horizontal="left" vertical="center" textRotation="0" wrapText="0" indent="1" justifyLastLine="0" shrinkToFit="0" readingOrder="0"/>
    </dxf>
    <dxf>
      <font>
        <strike val="0"/>
        <outline val="0"/>
        <shadow val="0"/>
        <u val="none"/>
        <vertAlign val="baseline"/>
        <sz val="11"/>
        <color theme="1"/>
        <name val="Calibri"/>
        <family val="2"/>
        <scheme val="minor"/>
      </font>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center" textRotation="0" wrapText="0" indent="1" justifyLastLine="0" shrinkToFit="0" readingOrder="0"/>
    </dxf>
    <dxf>
      <font>
        <strike val="0"/>
        <outline val="0"/>
        <shadow val="0"/>
        <u val="none"/>
        <vertAlign val="baseline"/>
        <sz val="11"/>
        <color theme="1"/>
        <name val="Calibri"/>
        <family val="2"/>
        <scheme val="minor"/>
      </font>
    </dxf>
    <dxf>
      <font>
        <strike val="0"/>
        <outline val="0"/>
        <shadow val="0"/>
        <u val="none"/>
        <vertAlign val="baseline"/>
        <sz val="11"/>
        <color theme="1"/>
        <name val="Calibri"/>
        <family val="2"/>
        <scheme val="minor"/>
      </font>
    </dxf>
    <dxf>
      <font>
        <strike val="0"/>
        <outline val="0"/>
        <shadow val="0"/>
        <u val="none"/>
        <vertAlign val="baseline"/>
        <sz val="11"/>
      </font>
    </dxf>
    <dxf>
      <font>
        <strike val="0"/>
        <outline val="0"/>
        <shadow val="0"/>
        <u val="none"/>
        <vertAlign val="baseline"/>
        <sz val="11"/>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333333"/>
        <name val="Arial"/>
        <family val="2"/>
        <scheme val="none"/>
      </font>
      <fill>
        <patternFill patternType="solid">
          <fgColor indexed="64"/>
          <bgColor rgb="FFFFFFFF"/>
        </patternFill>
      </fill>
      <alignment horizontal="left" vertical="bottom" textRotation="0" wrapText="0" indent="0" justifyLastLine="0" shrinkToFit="0" readingOrder="0"/>
      <border diagonalUp="0" diagonalDown="0" outline="0">
        <left style="thin">
          <color rgb="FF000000"/>
        </left>
        <right/>
        <top style="thin">
          <color rgb="FF000000"/>
        </top>
        <bottom style="thin">
          <color rgb="FF000000"/>
        </bottom>
      </border>
    </dxf>
    <dxf>
      <font>
        <strike val="0"/>
        <outline val="0"/>
        <shadow val="0"/>
        <u val="none"/>
        <vertAlign val="baseline"/>
        <sz val="11"/>
      </font>
    </dxf>
    <dxf>
      <font>
        <strike val="0"/>
        <outline val="0"/>
        <shadow val="0"/>
        <u val="none"/>
        <vertAlign val="baseline"/>
        <sz val="11"/>
        <color theme="1"/>
        <name val="Calibri"/>
        <family val="2"/>
        <scheme val="minor"/>
      </font>
    </dxf>
    <dxf>
      <font>
        <b/>
        <i val="0"/>
        <strike val="0"/>
        <condense val="0"/>
        <extend val="0"/>
        <outline val="0"/>
        <shadow val="0"/>
        <u val="none"/>
        <vertAlign val="baseline"/>
        <sz val="14"/>
        <color theme="1"/>
        <name val="Calibri"/>
        <family val="2"/>
        <scheme val="minor"/>
      </font>
      <fill>
        <patternFill patternType="solid">
          <fgColor indexed="64"/>
          <bgColor theme="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alignment vertical="center" textRotation="0" indent="0" justifyLastLine="0" shrinkToFit="0" readingOrder="0"/>
    </dxf>
    <dxf>
      <font>
        <strike val="0"/>
        <outline val="0"/>
        <shadow val="0"/>
        <u val="none"/>
        <vertAlign val="baseline"/>
        <sz val="14"/>
        <color theme="1"/>
        <name val="Calibri"/>
        <family val="2"/>
        <scheme val="minor"/>
      </font>
      <alignment vertical="center" textRotation="0" indent="0" justifyLastLine="0" shrinkToFit="0" readingOrder="0"/>
    </dxf>
    <dxf>
      <font>
        <b/>
        <i val="0"/>
        <strike val="0"/>
        <condense val="0"/>
        <extend val="0"/>
        <outline val="0"/>
        <shadow val="0"/>
        <u val="none"/>
        <vertAlign val="baseline"/>
        <sz val="14"/>
        <color theme="1"/>
        <name val="Calibri"/>
        <family val="2"/>
        <scheme val="minor"/>
      </font>
      <fill>
        <patternFill patternType="solid">
          <fgColor indexed="64"/>
          <bgColor theme="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alignment vertical="center" textRotation="0" indent="0" justifyLastLine="0" shrinkToFit="0" readingOrder="0"/>
    </dxf>
    <dxf>
      <font>
        <strike val="0"/>
        <outline val="0"/>
        <shadow val="0"/>
        <u val="none"/>
        <vertAlign val="baseline"/>
        <sz val="14"/>
        <color theme="1"/>
        <name val="Calibri"/>
        <family val="2"/>
        <scheme val="minor"/>
      </font>
      <alignment vertical="center" textRotation="0" indent="0" justifyLastLine="0" shrinkToFit="0" readingOrder="0"/>
    </dxf>
    <dxf>
      <font>
        <strike val="0"/>
        <outline val="0"/>
        <shadow val="0"/>
        <u val="none"/>
        <vertAlign val="baseline"/>
        <sz val="14"/>
        <color theme="1"/>
        <name val="Calibri"/>
        <family val="2"/>
        <scheme val="minor"/>
      </font>
      <numFmt numFmtId="1" formatCode="0"/>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165" formatCode="0.000"/>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165" formatCode="0.000"/>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165" formatCode="0.000"/>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1" formatCode="0"/>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2" formatCode="0.00"/>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35" formatCode="_-* #,##0.00_-;\-* #,##0.00_-;_-* &quot;-&quot;??_-;_-@_-"/>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166" formatCode="0.0000"/>
      <alignment horizontal="center" vertical="center" textRotation="0" wrapText="0" indent="0" justifyLastLine="0" shrinkToFit="0" readingOrder="0"/>
    </dxf>
    <dxf>
      <font>
        <b/>
        <i val="0"/>
        <strike val="0"/>
        <condense val="0"/>
        <extend val="0"/>
        <outline val="0"/>
        <shadow val="0"/>
        <u val="none"/>
        <vertAlign val="baseline"/>
        <sz val="14"/>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2" formatCode="0.00"/>
      <alignment horizontal="center" vertical="center" textRotation="0" wrapText="0" indent="0" justifyLastLine="0" shrinkToFit="0" readingOrder="0"/>
    </dxf>
    <dxf>
      <font>
        <b/>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2" formatCode="0.00"/>
      <alignment horizontal="center" vertical="center" textRotation="0" wrapText="0" indent="0" justifyLastLine="0" shrinkToFit="0" readingOrder="0"/>
    </dxf>
    <dxf>
      <font>
        <b/>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4"/>
        <color theme="3"/>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fill>
        <patternFill patternType="solid">
          <fgColor indexed="64"/>
          <bgColor theme="2"/>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4"/>
        <color theme="1"/>
        <name val="Calibri"/>
        <family val="2"/>
        <scheme val="minor"/>
      </font>
      <fill>
        <patternFill patternType="solid">
          <fgColor indexed="64"/>
          <bgColor theme="2"/>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0" indent="0" justifyLastLine="0" shrinkToFit="0" readingOrder="0"/>
      <border diagonalUp="0" diagonalDown="0" outline="0">
        <left/>
        <right style="thin">
          <color indexed="64"/>
        </right>
        <top/>
        <bottom/>
      </border>
    </dxf>
    <dxf>
      <alignment horizontal="general" vertical="center" textRotation="0" wrapText="0" indent="0" justifyLastLine="0" shrinkToFit="0" readingOrder="0"/>
      <border outline="0">
        <right style="thin">
          <color indexed="64"/>
        </right>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4</xdr:row>
          <xdr:rowOff>133350</xdr:rowOff>
        </xdr:from>
        <xdr:to>
          <xdr:col>4</xdr:col>
          <xdr:colOff>1492250</xdr:colOff>
          <xdr:row>6</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.DOCX file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642501-57ED-47D3-AF1E-95251956397A}" name="RawSettings" displayName="RawSettings" ref="A4:B14">
  <autoFilter ref="A4:B14" xr:uid="{F0642501-57ED-47D3-AF1E-95251956397A}">
    <filterColumn colId="0" hiddenButton="1"/>
    <filterColumn colId="1" hiddenButton="1"/>
  </autoFilter>
  <tableColumns count="2">
    <tableColumn id="1" xr3:uid="{FDED74D0-5752-4FA4-93DD-2A742EA47643}" name="Settings (dropdowns)" totalsRowLabel="Total" dataDxfId="66" totalsRowDxfId="65"/>
    <tableColumn id="2" xr3:uid="{0CBA5650-CF09-4C7B-813E-03EBC436C0AE}" name=" " totalsRowFunction="count" dataDxfId="64" totalsRowDxfId="63"/>
  </tableColumns>
  <tableStyleInfo name="TableStyleMedium1" showFirstColumn="1"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26AC05B-FF6C-45EE-9ACF-42C1A6078939}" name="RawOutput" displayName="RawOutput" ref="A19:D35" headerRowDxfId="62">
  <autoFilter ref="A19:D35" xr:uid="{A26AC05B-FF6C-45EE-9ACF-42C1A6078939}"/>
  <tableColumns count="4">
    <tableColumn id="1" xr3:uid="{944F441C-B143-40D6-901E-E70C525D2667}" name="Output" totalsRowLabel="Total" dataDxfId="61" totalsRowDxfId="60"/>
    <tableColumn id="2" xr3:uid="{57FCF93D-052F-483D-8BBA-C85E55E8FBBB}" name="Inches" dataDxfId="59" totalsRowDxfId="58"/>
    <tableColumn id="3" xr3:uid="{0E47092B-D86B-4A49-A6AC-42045356063F}" name="mm" dataDxfId="57" totalsRowDxfId="56">
      <calculatedColumnFormula>ROUND(B20*25.4, 2)</calculatedColumnFormula>
    </tableColumn>
    <tableColumn id="4" xr3:uid="{8982690B-DBA8-482C-B86D-4D7D2605E294}" name="cm" totalsRowFunction="sum" dataDxfId="55" totalsRowDxfId="54">
      <calculatedColumnFormula>ROUND(B20*2.54, 2)</calculatedColumnFormula>
    </tableColumn>
  </tableColumns>
  <tableStyleInfo name="TableStyleMedium1"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1E08A20-B249-4593-A6DC-9B7D8DB3B8B9}" name="Table10" displayName="Table10" ref="A39:E50" totalsRowShown="0">
  <autoFilter ref="A39:E50" xr:uid="{71E08A20-B249-4593-A6DC-9B7D8DB3B8B9}"/>
  <tableColumns count="5">
    <tableColumn id="1" xr3:uid="{461F186A-862E-4154-9EDD-01EE6442E102}" name="Cover"/>
    <tableColumn id="2" xr3:uid="{515B10A4-586F-4D10-86E9-099EB3E53393}" name="Inches" dataDxfId="53"/>
    <tableColumn id="3" xr3:uid="{FDD7BF9F-3F89-4289-8052-901B573604CC}" name="mm" dataDxfId="52" dataCellStyle="Comma">
      <calculatedColumnFormula>ROUND(#REF!*25.4, 2)</calculatedColumnFormula>
    </tableColumn>
    <tableColumn id="4" xr3:uid="{5CCB43EB-6D19-40A5-87B6-817D3140D14B}" name="cm" dataDxfId="51" dataCellStyle="Comma">
      <calculatedColumnFormula>ROUND(#REF!*2.54, 2)</calculatedColumnFormula>
    </tableColumn>
    <tableColumn id="5" xr3:uid="{FB1CE6AF-6ABD-47B1-ACFC-499DC43C9332}" name="Pixels" dataDxfId="50">
      <calculatedColumnFormula>_xlfn.XLOOKUP(#REF!,DPI[Name],DPI[DPI],"")*Table10[[#This Row],[Inches]]</calculatedColumnFormula>
    </tableColumn>
  </tableColumns>
  <tableStyleInfo name="TableStyleMedium1"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DF89A6D-88CE-440F-A5BD-CF8AB9EE4076}" name="Table12" displayName="Table12" ref="A55:E72" totalsRowShown="0">
  <autoFilter ref="A55:E72" xr:uid="{0DF89A6D-88CE-440F-A5BD-CF8AB9EE4076}">
    <filterColumn colId="0" hiddenButton="1"/>
    <filterColumn colId="1" hiddenButton="1"/>
    <filterColumn colId="2" hiddenButton="1"/>
    <filterColumn colId="3" hiddenButton="1"/>
    <filterColumn colId="4" hiddenButton="1"/>
  </autoFilter>
  <tableColumns count="5">
    <tableColumn id="1" xr3:uid="{1891A72F-C50B-45A0-9F18-25F0033A2242}" name="Elements:"/>
    <tableColumn id="2" xr3:uid="{8F3FBC08-3619-4EC9-8C6C-08A8307D0B50}" name="Inches" dataDxfId="49"/>
    <tableColumn id="3" xr3:uid="{0A67517E-ED5A-4702-9C72-369230F5BE12}" name="mm" dataDxfId="48"/>
    <tableColumn id="4" xr3:uid="{897B47C7-C7C6-49E5-8152-4E7113D8EA4F}" name="cm" dataDxfId="47"/>
    <tableColumn id="5" xr3:uid="{CB5A718E-AAE6-416B-AB70-364A1AF88AB4}" name="Pixels" dataDxfId="46"/>
  </tableColumns>
  <tableStyleInfo name="TableStyleMedium1"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CE934C8-909E-4894-9E2A-0A6C7583B3A4}" name="WordSettings" displayName="WordSettings" ref="B15:E34" totalsRowShown="0" headerRowDxfId="45" dataDxfId="44">
  <autoFilter ref="B15:E34" xr:uid="{BCE934C8-909E-4894-9E2A-0A6C7583B3A4}">
    <filterColumn colId="0" hiddenButton="1"/>
    <filterColumn colId="1" hiddenButton="1"/>
    <filterColumn colId="2" hiddenButton="1"/>
    <filterColumn colId="3" hiddenButton="1"/>
  </autoFilter>
  <tableColumns count="4">
    <tableColumn id="1" xr3:uid="{387A9C28-1D9A-4FEC-B6AB-114981AA548A}" name="Setting" dataDxfId="43"/>
    <tableColumn id="2" xr3:uid="{F628B6C2-E360-4ACC-B8EE-2553B718A6E8}" name="Where in Word" dataDxfId="42"/>
    <tableColumn id="3" xr3:uid="{D8FBF90C-85CE-4113-AAC7-B17A988FB369}" name="Option" dataDxfId="41"/>
    <tableColumn id="4" xr3:uid="{FA71F986-690C-48C6-A471-3800474F6740}" name="Value" dataDxfId="40"/>
  </tableColumns>
  <tableStyleInfo name="TableStyleMedium1"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6F2DDC9-B0D3-4097-A3C6-8F88D813D154}" name="WordSettings15" displayName="WordSettings15" ref="B6:E25" totalsRowShown="0" headerRowDxfId="39" dataDxfId="38">
  <autoFilter ref="B6:E25" xr:uid="{BCE934C8-909E-4894-9E2A-0A6C7583B3A4}">
    <filterColumn colId="0" hiddenButton="1"/>
    <filterColumn colId="1" hiddenButton="1"/>
    <filterColumn colId="2" hiddenButton="1"/>
    <filterColumn colId="3" hiddenButton="1"/>
  </autoFilter>
  <tableColumns count="4">
    <tableColumn id="1" xr3:uid="{63BCAF55-B3FC-4E8D-A74F-3A7FA728D499}" name="Setting" dataDxfId="37"/>
    <tableColumn id="2" xr3:uid="{60BCC0AB-C2B7-481C-9EB9-400229CE233D}" name="Where in Word" dataDxfId="36"/>
    <tableColumn id="3" xr3:uid="{20B36E7E-2C82-4159-9F1C-71DF132EED73}" name="Option" dataDxfId="35"/>
    <tableColumn id="4" xr3:uid="{DF82BE5F-E556-47AE-88A5-F40FDF746E10}" name="Value" dataDxfId="34"/>
  </tableColumns>
  <tableStyleInfo name="TableStyleMedium1"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rims" displayName="Trims" ref="A7:I28" totalsRowShown="0" headerRowDxfId="33" dataDxfId="32">
  <autoFilter ref="A7:I2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000-000001000000}" name="Name" dataDxfId="31"/>
    <tableColumn id="8" xr3:uid="{13709C1F-8C2E-42C6-972D-560243430155}" name="CM" dataDxfId="30"/>
    <tableColumn id="2" xr3:uid="{00000000-0010-0000-0000-000002000000}" name="Width (in)" dataDxfId="29"/>
    <tableColumn id="3" xr3:uid="{00000000-0010-0000-0000-000003000000}" name="Height (in)" dataDxfId="28"/>
    <tableColumn id="4" xr3:uid="{4129A356-2EC8-4848-AB01-4F2F6EF4E227}" name="Interior Bleed" dataDxfId="27"/>
    <tableColumn id="7" xr3:uid="{A72EA064-5864-4A36-90BC-D08CCB7BDB38}" name="Cover Bleed" dataDxfId="26"/>
    <tableColumn id="10" xr3:uid="{C6482B75-D2EA-498C-8BBD-6030593A1F51}" name="Printable Overhang" dataDxfId="25"/>
    <tableColumn id="5" xr3:uid="{F0BE8DF0-EA36-47EE-A742-61AE893F3713}" name="Binding" dataDxfId="24"/>
    <tableColumn id="6" xr3:uid="{E06DFEBD-30B7-442C-BF39-BCF54464A48A}" name="Trim Name" dataDxfId="23"/>
  </tableColumns>
  <tableStyleInfo name="TableStyleMedium1"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argins" displayName="Margins" ref="A40:E43" totalsRowShown="0" headerRowDxfId="22" dataDxfId="21">
  <autoFilter ref="A40:E43" xr:uid="{00000000-0009-0000-0100-000002000000}">
    <filterColumn colId="0" hiddenButton="1"/>
    <filterColumn colId="1" hiddenButton="1"/>
    <filterColumn colId="2" hiddenButton="1"/>
    <filterColumn colId="3" hiddenButton="1"/>
    <filterColumn colId="4" hiddenButton="1"/>
  </autoFilter>
  <tableColumns count="5">
    <tableColumn id="1" xr3:uid="{00000000-0010-0000-0100-000001000000}" name="Name" dataDxfId="20"/>
    <tableColumn id="2" xr3:uid="{00000000-0010-0000-0100-000002000000}" name="Top" dataDxfId="19"/>
    <tableColumn id="5" xr3:uid="{08CA4AD6-EF01-407E-ACB5-77E2331E1CFC}" name="Inside" dataDxfId="18"/>
    <tableColumn id="3" xr3:uid="{00000000-0010-0000-0100-000003000000}" name="Outside" dataDxfId="17"/>
    <tableColumn id="4" xr3:uid="{00000000-0010-0000-0100-000004000000}" name="Bottom" dataDxfId="16"/>
  </tableColumns>
  <tableStyleInfo name="TableStyleMedium1"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8D59AF-2E60-4692-AD1D-875EE11A8D14}" name="YesNo" displayName="YesNo" ref="A55:A57" totalsRowShown="0" headerRowDxfId="15" dataDxfId="14">
  <autoFilter ref="A55:A57" xr:uid="{848D59AF-2E60-4692-AD1D-875EE11A8D14}">
    <filterColumn colId="0" hiddenButton="1"/>
  </autoFilter>
  <tableColumns count="1">
    <tableColumn id="1" xr3:uid="{7359C6B3-C79D-4B1C-9F43-277560CD1F04}" name="Select" dataDxfId="13"/>
  </tableColumns>
  <tableStyleInfo name="TableStyleMedium1"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7E5FA56-F4EB-42B1-BF0A-E87C5FF5724F}" name="HeadFoot" displayName="HeadFoot" ref="A47:C51" totalsRowShown="0" headerRowDxfId="12" dataDxfId="11">
  <autoFilter ref="A47:C51" xr:uid="{F7E5FA56-F4EB-42B1-BF0A-E87C5FF5724F}">
    <filterColumn colId="0" hiddenButton="1"/>
    <filterColumn colId="1" hiddenButton="1"/>
    <filterColumn colId="2" hiddenButton="1"/>
  </autoFilter>
  <tableColumns count="3">
    <tableColumn id="1" xr3:uid="{3FEABBBA-5C35-46BC-B5F1-922BF5682DF4}" name="Name" dataDxfId="10"/>
    <tableColumn id="2" xr3:uid="{BCD47FB5-C8C1-4C4B-8BE5-2C452DB30AA9}" name="Header From Top" dataDxfId="9"/>
    <tableColumn id="3" xr3:uid="{4BF26672-E90F-46C5-A758-ACFA4D826871}" name="Footer From Bottom" dataDxfId="8"/>
  </tableColumns>
  <tableStyleInfo name="TableStyleMedium1"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54C9427-DD7C-42D4-82F6-71DE49BF1F43}" name="PaperType" displayName="PaperType" ref="A61:C65" totalsRowShown="0" headerRowDxfId="7" dataDxfId="6">
  <autoFilter ref="A61:C65" xr:uid="{154C9427-DD7C-42D4-82F6-71DE49BF1F43}">
    <filterColumn colId="0" hiddenButton="1"/>
    <filterColumn colId="1" hiddenButton="1"/>
    <filterColumn colId="2" hiddenButton="1"/>
  </autoFilter>
  <tableColumns count="3">
    <tableColumn id="1" xr3:uid="{171EEF46-B832-4E24-8906-978DB1372AC2}" name="Name" dataDxfId="5"/>
    <tableColumn id="2" xr3:uid="{BF42370D-6A54-460E-937D-32D725AD5A0F}" name="SpineFactor" dataDxfId="4"/>
    <tableColumn id="3" xr3:uid="{B440ED92-BF70-4F9F-8A29-50FB0E921E6D}" name="Max Pages" dataDxfId="3"/>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1DF34FE-B0C9-47C7-8ADB-C82048F2A3FC}" name="DPI" displayName="DPI" ref="A69:B72" totalsRowShown="0">
  <autoFilter ref="A69:B72" xr:uid="{C1DF34FE-B0C9-47C7-8ADB-C82048F2A3FC}">
    <filterColumn colId="0" hiddenButton="1"/>
    <filterColumn colId="1" hiddenButton="1"/>
  </autoFilter>
  <tableColumns count="2">
    <tableColumn id="1" xr3:uid="{0DCA1CC8-DE79-4FF9-98D4-CAE8C7C8B0D1}" name="Name"/>
    <tableColumn id="2" xr3:uid="{5F8FD3D8-1804-4019-88C4-46768BBF2592}" name="DPI"/>
  </tableColumns>
  <tableStyleInfo name="TableStyleMedium1"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754DB9D-642C-40EF-B50A-9B78EDE5135C}" name="Formats" displayName="Formats" ref="A34:C36" totalsRowShown="0">
  <autoFilter ref="A34:C36" xr:uid="{C754DB9D-642C-40EF-B50A-9B78EDE5135C}">
    <filterColumn colId="0" hiddenButton="1"/>
    <filterColumn colId="1" hiddenButton="1"/>
    <filterColumn colId="2" hiddenButton="1"/>
  </autoFilter>
  <tableColumns count="3">
    <tableColumn id="1" xr3:uid="{0A4840CC-2AC1-4AD1-8D12-BE766B9C8F8F}" name="Name" dataDxfId="2"/>
    <tableColumn id="2" xr3:uid="{2D56FC9B-67F2-421B-9CAE-95598AE70B6F}" name="Interior Bleed?" dataDxfId="1"/>
    <tableColumn id="3" xr3:uid="{215D5264-5AE4-4AB9-887C-90638FFAE124}" name="Cover Bleed?" dataDxfId="0"/>
  </tableColumns>
  <tableStyleInfo name="TableStyleMedium1"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C9AF196-CFD9-4E25-B89E-9CA72F85BA1C}" name="SectionStart" displayName="SectionStart" ref="A76:B81" totalsRowShown="0">
  <autoFilter ref="A76:B81" xr:uid="{EC9AF196-CFD9-4E25-B89E-9CA72F85BA1C}">
    <filterColumn colId="0" hiddenButton="1"/>
    <filterColumn colId="1" hiddenButton="1"/>
  </autoFilter>
  <tableColumns count="2">
    <tableColumn id="1" xr3:uid="{7B62CB44-25BF-4992-A3EC-33C292AAF62C}" name="Name"/>
    <tableColumn id="2" xr3:uid="{50989D05-422B-48F6-B81E-B567F11B8140}" name="Value"/>
  </tableColumns>
  <tableStyleInfo name="TableStyleMedium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2" Type="http://schemas.openxmlformats.org/officeDocument/2006/relationships/hyperlink" Target="https://creativecommons.org/licenses/by-nc/4.0/" TargetMode="External"/><Relationship Id="rId1" Type="http://schemas.openxmlformats.org/officeDocument/2006/relationships/hyperlink" Target="https://github.com/multiplicit-com/Office2KDP/" TargetMode="Externa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H72"/>
  <sheetViews>
    <sheetView tabSelected="1" workbookViewId="0">
      <selection activeCell="A2" sqref="A2"/>
    </sheetView>
  </sheetViews>
  <sheetFormatPr defaultRowHeight="14.5"/>
  <cols>
    <col min="1" max="1" width="36" customWidth="1"/>
    <col min="2" max="2" width="24.1796875" customWidth="1"/>
    <col min="3" max="4" width="16.08984375" customWidth="1"/>
    <col min="5" max="5" width="15.6328125" customWidth="1"/>
  </cols>
  <sheetData>
    <row r="1" spans="1:3" ht="23.5">
      <c r="A1" s="8" t="s">
        <v>20</v>
      </c>
    </row>
    <row r="2" spans="1:3" ht="23.5">
      <c r="A2" s="8"/>
    </row>
    <row r="3" spans="1:3">
      <c r="A3" s="67" t="s">
        <v>247</v>
      </c>
    </row>
    <row r="4" spans="1:3" ht="18.5">
      <c r="A4" s="6" t="s">
        <v>35</v>
      </c>
      <c r="B4" s="2" t="s">
        <v>79</v>
      </c>
      <c r="C4" s="2"/>
    </row>
    <row r="5" spans="1:3" ht="18.5">
      <c r="A5" s="2" t="s">
        <v>23</v>
      </c>
      <c r="B5" s="32" t="s">
        <v>146</v>
      </c>
      <c r="C5" s="2"/>
    </row>
    <row r="6" spans="1:3" ht="18.5">
      <c r="A6" s="2" t="s">
        <v>5</v>
      </c>
      <c r="B6" s="32" t="s">
        <v>13</v>
      </c>
      <c r="C6" s="2"/>
    </row>
    <row r="7" spans="1:3" ht="18.5">
      <c r="A7" s="2" t="s">
        <v>32</v>
      </c>
      <c r="B7" s="32" t="s">
        <v>13</v>
      </c>
      <c r="C7" s="7"/>
    </row>
    <row r="8" spans="1:3" ht="18.5">
      <c r="A8" s="2" t="s">
        <v>33</v>
      </c>
      <c r="B8" s="32" t="s">
        <v>13</v>
      </c>
      <c r="C8" s="7"/>
    </row>
    <row r="9" spans="1:3" ht="18.5">
      <c r="A9" s="31" t="s">
        <v>94</v>
      </c>
      <c r="B9" s="45" t="s">
        <v>90</v>
      </c>
    </row>
    <row r="10" spans="1:3" ht="18.5">
      <c r="A10" s="34" t="s">
        <v>99</v>
      </c>
      <c r="B10" s="45" t="s">
        <v>101</v>
      </c>
      <c r="C10" s="2"/>
    </row>
    <row r="11" spans="1:3" ht="18.5">
      <c r="A11" s="31" t="s">
        <v>174</v>
      </c>
      <c r="B11" s="45" t="s">
        <v>173</v>
      </c>
      <c r="C11" s="2"/>
    </row>
    <row r="12" spans="1:3" ht="18.5">
      <c r="A12" s="34" t="s">
        <v>57</v>
      </c>
      <c r="B12" s="32">
        <v>0.1</v>
      </c>
      <c r="C12" s="4" t="s">
        <v>272</v>
      </c>
    </row>
    <row r="13" spans="1:3" ht="18.5">
      <c r="A13" s="34" t="s">
        <v>36</v>
      </c>
      <c r="B13" s="32">
        <v>200</v>
      </c>
      <c r="C13" s="2"/>
    </row>
    <row r="14" spans="1:3" ht="18.5">
      <c r="A14" s="34" t="s">
        <v>227</v>
      </c>
      <c r="B14" s="45" t="s">
        <v>224</v>
      </c>
      <c r="C14" s="4" t="s">
        <v>278</v>
      </c>
    </row>
    <row r="15" spans="1:3">
      <c r="A15" s="34"/>
      <c r="B15" s="2"/>
      <c r="C15" s="2"/>
    </row>
    <row r="16" spans="1:3">
      <c r="A16" s="4"/>
      <c r="B16" s="2"/>
      <c r="C16" s="2"/>
    </row>
    <row r="17" spans="1:8">
      <c r="A17" s="55" t="s">
        <v>236</v>
      </c>
      <c r="C17" s="2"/>
    </row>
    <row r="18" spans="1:8" ht="23.5">
      <c r="A18" s="8" t="s">
        <v>234</v>
      </c>
      <c r="B18" s="2"/>
      <c r="C18" s="2"/>
    </row>
    <row r="19" spans="1:8" ht="18.5">
      <c r="A19" s="6" t="s">
        <v>6</v>
      </c>
      <c r="B19" s="23" t="s">
        <v>21</v>
      </c>
      <c r="C19" s="23" t="s">
        <v>22</v>
      </c>
      <c r="D19" s="23" t="s">
        <v>54</v>
      </c>
    </row>
    <row r="20" spans="1:8" ht="18.5">
      <c r="A20" s="2" t="s">
        <v>82</v>
      </c>
      <c r="B20" s="5" t="str">
        <f>_xlfn.XLOOKUP(B5,Trims[Name],Trims[Binding],"")</f>
        <v>Paperback</v>
      </c>
      <c r="C20" s="54" t="str">
        <f>_xlfn.XLOOKUP(B5,Trims[Name],Trims[Trim Name],"")</f>
        <v>Small Trade / Digest</v>
      </c>
      <c r="D20" s="24"/>
    </row>
    <row r="21" spans="1:8" ht="18.5">
      <c r="A21" s="2" t="s">
        <v>175</v>
      </c>
      <c r="B21" s="5" t="b">
        <f>_xlfn.XLOOKUP(B11,Formats[Name], Formats[Interior Bleed?],"")</f>
        <v>0</v>
      </c>
      <c r="C21" s="24"/>
      <c r="D21" s="24"/>
    </row>
    <row r="22" spans="1:8" ht="18.5">
      <c r="A22" s="2" t="s">
        <v>190</v>
      </c>
      <c r="B22" s="5" cm="1">
        <f t="array" ref="B22">_xlfn.XLOOKUP(B5,Trims[Name],Trims[Width (in)],"")</f>
        <v>5.5</v>
      </c>
      <c r="C22" s="24">
        <f>B22*25.4</f>
        <v>139.69999999999999</v>
      </c>
      <c r="D22" s="24">
        <f>B22*2.54</f>
        <v>13.97</v>
      </c>
    </row>
    <row r="23" spans="1:8" ht="18.5">
      <c r="A23" s="2" t="s">
        <v>191</v>
      </c>
      <c r="B23" s="5" cm="1">
        <f t="array" ref="B23">_xlfn.XLOOKUP(B5,Trims[Name],Trims[Height (in)],"")</f>
        <v>8.5</v>
      </c>
      <c r="C23" s="24">
        <f t="shared" ref="C23:C35" si="0">B23*25.4</f>
        <v>215.89999999999998</v>
      </c>
      <c r="D23" s="24">
        <f t="shared" ref="D23:D35" si="1">B23*2.54</f>
        <v>21.59</v>
      </c>
    </row>
    <row r="24" spans="1:8" ht="18.5">
      <c r="A24" s="2" t="s">
        <v>61</v>
      </c>
      <c r="B24" s="5">
        <f>_xlfn.XLOOKUP(B6,Margins[Name],Margins[Inside],0)</f>
        <v>0.375</v>
      </c>
      <c r="C24" s="24">
        <f t="shared" si="0"/>
        <v>9.5249999999999986</v>
      </c>
      <c r="D24" s="24">
        <f t="shared" si="1"/>
        <v>0.95250000000000001</v>
      </c>
    </row>
    <row r="25" spans="1:8" ht="18.5">
      <c r="A25" s="2" t="s">
        <v>193</v>
      </c>
      <c r="B25" s="5">
        <f>_xlfn.XLOOKUP(B6,Margins[Name],Margins[Outside],0)</f>
        <v>0.375</v>
      </c>
      <c r="C25" s="24">
        <f t="shared" si="0"/>
        <v>9.5249999999999986</v>
      </c>
      <c r="D25" s="24">
        <f t="shared" si="1"/>
        <v>0.95250000000000001</v>
      </c>
    </row>
    <row r="26" spans="1:8" ht="18.5">
      <c r="A26" s="2" t="s">
        <v>9</v>
      </c>
      <c r="B26" s="5">
        <f>IF(B13&lt;=150,0.375,IF(B13&lt;=300,0.5,IF(B13&lt;=500,0.625,IF(B13&lt;=700,0.75,0.875))))</f>
        <v>0.5</v>
      </c>
      <c r="C26" s="24">
        <f t="shared" si="0"/>
        <v>12.7</v>
      </c>
      <c r="D26" s="24">
        <f t="shared" si="1"/>
        <v>1.27</v>
      </c>
      <c r="H26" s="4"/>
    </row>
    <row r="27" spans="1:8" ht="18.5">
      <c r="A27" s="2" t="s">
        <v>194</v>
      </c>
      <c r="B27" s="5">
        <f>B26+B24</f>
        <v>0.875</v>
      </c>
      <c r="C27" s="24">
        <f>B27*25.4</f>
        <v>22.224999999999998</v>
      </c>
      <c r="D27" s="24">
        <f>B27*2.54</f>
        <v>2.2225000000000001</v>
      </c>
      <c r="H27" s="4"/>
    </row>
    <row r="28" spans="1:8" ht="18.5">
      <c r="A28" s="2" t="s">
        <v>210</v>
      </c>
      <c r="B28" s="5">
        <f>_xlfn.XLOOKUP(B7,HeadFoot[Name],HeadFoot[Header From Top],"")</f>
        <v>0.35</v>
      </c>
      <c r="C28" s="24">
        <f t="shared" si="0"/>
        <v>8.8899999999999988</v>
      </c>
      <c r="D28" s="24">
        <f t="shared" si="1"/>
        <v>0.8889999999999999</v>
      </c>
      <c r="H28" s="4"/>
    </row>
    <row r="29" spans="1:8" ht="18.5">
      <c r="A29" s="2" t="s">
        <v>211</v>
      </c>
      <c r="B29" s="5">
        <f>_xlfn.XLOOKUP(B8,HeadFoot[Name],HeadFoot[Footer From Bottom],"")</f>
        <v>0.35</v>
      </c>
      <c r="C29" s="24">
        <f t="shared" si="0"/>
        <v>8.8899999999999988</v>
      </c>
      <c r="D29" s="24">
        <f t="shared" si="1"/>
        <v>0.8889999999999999</v>
      </c>
      <c r="H29" s="4"/>
    </row>
    <row r="30" spans="1:8" ht="18.5">
      <c r="A30" s="2" t="s">
        <v>10</v>
      </c>
      <c r="B30" s="5">
        <f>MAX(_xlfn.XLOOKUP(B6,Margins[Name],Margins[Top],""),
(B28+B12)
)</f>
        <v>0.44999999999999996</v>
      </c>
      <c r="C30" s="24">
        <f t="shared" si="0"/>
        <v>11.429999999999998</v>
      </c>
      <c r="D30" s="24">
        <f t="shared" si="1"/>
        <v>1.1429999999999998</v>
      </c>
    </row>
    <row r="31" spans="1:8" ht="18.5">
      <c r="A31" s="2" t="s">
        <v>11</v>
      </c>
      <c r="B31" s="5">
        <f>MAX(_xlfn.XLOOKUP(B6,Margins[Name],Margins[Bottom],""),
(B29+B12)
)</f>
        <v>0.44999999999999996</v>
      </c>
      <c r="C31" s="24">
        <f t="shared" si="0"/>
        <v>11.429999999999998</v>
      </c>
      <c r="D31" s="24">
        <f t="shared" si="1"/>
        <v>1.1429999999999998</v>
      </c>
    </row>
    <row r="32" spans="1:8" ht="18.5">
      <c r="A32" s="2" t="s">
        <v>19</v>
      </c>
      <c r="B32" s="5">
        <f>IF(B21=TRUE,
_xlfn.XLOOKUP(B5,Trims[Name],Trims[Interior Bleed],""),0)</f>
        <v>0</v>
      </c>
      <c r="C32" s="24">
        <f t="shared" si="0"/>
        <v>0</v>
      </c>
      <c r="D32" s="24">
        <f t="shared" si="1"/>
        <v>0</v>
      </c>
    </row>
    <row r="33" spans="1:5" ht="18.5">
      <c r="A33" s="52" t="s">
        <v>182</v>
      </c>
      <c r="B33" s="48">
        <f>B22+B32</f>
        <v>5.5</v>
      </c>
      <c r="C33" s="49">
        <f t="shared" si="0"/>
        <v>139.69999999999999</v>
      </c>
      <c r="D33" s="49">
        <f t="shared" si="1"/>
        <v>13.97</v>
      </c>
    </row>
    <row r="34" spans="1:5" ht="18.5">
      <c r="A34" s="52" t="s">
        <v>183</v>
      </c>
      <c r="B34" s="48">
        <f>(2*B22)+(2*B32)</f>
        <v>11</v>
      </c>
      <c r="C34" s="49">
        <f t="shared" si="0"/>
        <v>279.39999999999998</v>
      </c>
      <c r="D34" s="49">
        <f t="shared" si="1"/>
        <v>27.94</v>
      </c>
    </row>
    <row r="35" spans="1:5" ht="18.5">
      <c r="A35" s="52" t="s">
        <v>12</v>
      </c>
      <c r="B35" s="48">
        <f>B23+(B32*2)</f>
        <v>8.5</v>
      </c>
      <c r="C35" s="49">
        <f t="shared" si="0"/>
        <v>215.89999999999998</v>
      </c>
      <c r="D35" s="49">
        <f t="shared" si="1"/>
        <v>21.59</v>
      </c>
    </row>
    <row r="38" spans="1:5" ht="23.5">
      <c r="A38" s="8" t="s">
        <v>235</v>
      </c>
    </row>
    <row r="39" spans="1:5" ht="18.5">
      <c r="A39" s="33" t="s">
        <v>93</v>
      </c>
      <c r="B39" s="23" t="s">
        <v>21</v>
      </c>
      <c r="C39" s="23" t="s">
        <v>22</v>
      </c>
      <c r="D39" s="23" t="s">
        <v>54</v>
      </c>
      <c r="E39" s="23" t="s">
        <v>100</v>
      </c>
    </row>
    <row r="40" spans="1:5" ht="18.5">
      <c r="A40" t="s">
        <v>98</v>
      </c>
      <c r="B40" s="36">
        <f>_xlfn.XLOOKUP(B10,DPI[Name],DPI[DPI],"")</f>
        <v>300</v>
      </c>
      <c r="C40" s="37"/>
      <c r="D40" s="38"/>
      <c r="E40" s="36"/>
    </row>
    <row r="41" spans="1:5" ht="18.5">
      <c r="A41" t="s">
        <v>176</v>
      </c>
      <c r="B41" s="35" t="b">
        <f>_xlfn.XLOOKUP(B11,Formats[Name], Formats[Cover Bleed?],"")</f>
        <v>1</v>
      </c>
      <c r="C41" s="37"/>
      <c r="D41" s="38"/>
      <c r="E41" s="36"/>
    </row>
    <row r="42" spans="1:5" ht="18.5">
      <c r="A42" t="s">
        <v>199</v>
      </c>
      <c r="B42" s="40">
        <f>_xlfn.XLOOKUP(B5,Trims[Name],Trims[Printable Overhang],"")</f>
        <v>0</v>
      </c>
      <c r="C42" s="24">
        <f>B42*25.4</f>
        <v>0</v>
      </c>
      <c r="D42" s="24">
        <f>B42*2.54</f>
        <v>0</v>
      </c>
      <c r="E42" s="42">
        <f>$B$40*Table10[[#This Row],[Inches]]</f>
        <v>0</v>
      </c>
    </row>
    <row r="43" spans="1:5" ht="18.5">
      <c r="A43" t="s">
        <v>95</v>
      </c>
      <c r="B43" s="43">
        <f>_xlfn.XLOOKUP(B9,PaperType[Name],PaperType[SpineFactor],"")</f>
        <v>2.2520000000000001E-3</v>
      </c>
      <c r="C43" s="24">
        <f>B43*25.4</f>
        <v>5.7200799999999996E-2</v>
      </c>
      <c r="D43" s="24">
        <f>B43*2.54</f>
        <v>5.7200800000000007E-3</v>
      </c>
      <c r="E43" s="42">
        <f>$B$40*Table10[[#This Row],[Inches]]</f>
        <v>0.67559999999999998</v>
      </c>
    </row>
    <row r="44" spans="1:5" ht="18.5">
      <c r="A44" t="s">
        <v>96</v>
      </c>
      <c r="B44" s="35">
        <f>B13*B43</f>
        <v>0.45040000000000002</v>
      </c>
      <c r="C44" s="24">
        <f t="shared" ref="C44:C48" si="2">B44*25.4</f>
        <v>11.440160000000001</v>
      </c>
      <c r="D44" s="24">
        <f t="shared" ref="D44:D47" si="3">B44*2.54</f>
        <v>1.1440160000000001</v>
      </c>
      <c r="E44" s="36">
        <f>$B$40*Table10[[#This Row],[Inches]]</f>
        <v>135.12</v>
      </c>
    </row>
    <row r="45" spans="1:5" ht="18.5">
      <c r="A45" t="s">
        <v>122</v>
      </c>
      <c r="B45" s="24">
        <f>IF(B20="Hardcover",0.25,0)</f>
        <v>0</v>
      </c>
      <c r="C45" s="24">
        <f t="shared" si="2"/>
        <v>0</v>
      </c>
      <c r="D45" s="24">
        <f t="shared" si="3"/>
        <v>0</v>
      </c>
      <c r="E45" s="36">
        <f>$B$40*Table10[[#This Row],[Inches]]</f>
        <v>0</v>
      </c>
    </row>
    <row r="46" spans="1:5" ht="18.5">
      <c r="A46" t="s">
        <v>123</v>
      </c>
      <c r="B46" s="40">
        <f>IF(B41=TRUE,
_xlfn.XLOOKUP(B5,Trims[Name],Trims[Cover Bleed],""),0)</f>
        <v>0.125</v>
      </c>
      <c r="C46" s="24">
        <f t="shared" si="2"/>
        <v>3.1749999999999998</v>
      </c>
      <c r="D46" s="24">
        <f t="shared" si="3"/>
        <v>0.3175</v>
      </c>
      <c r="E46" s="36">
        <f>$B$40*Table10[[#This Row],[Inches]]</f>
        <v>37.5</v>
      </c>
    </row>
    <row r="47" spans="1:5" ht="18.5">
      <c r="A47" t="s">
        <v>220</v>
      </c>
      <c r="B47" s="40">
        <f>B22</f>
        <v>5.5</v>
      </c>
      <c r="C47" s="24">
        <f t="shared" si="2"/>
        <v>139.69999999999999</v>
      </c>
      <c r="D47" s="24">
        <f t="shared" si="3"/>
        <v>13.97</v>
      </c>
      <c r="E47" s="36">
        <f>$B$40*Table10[[#This Row],[Inches]]</f>
        <v>1650</v>
      </c>
    </row>
    <row r="48" spans="1:5" ht="18.5">
      <c r="A48" t="s">
        <v>221</v>
      </c>
      <c r="B48" s="40">
        <f>B23</f>
        <v>8.5</v>
      </c>
      <c r="C48" s="24">
        <f t="shared" si="2"/>
        <v>215.89999999999998</v>
      </c>
      <c r="D48" s="24">
        <f t="shared" ref="D48" si="4">B48*2.54</f>
        <v>21.59</v>
      </c>
      <c r="E48" s="36">
        <f>$B$40*Table10[[#This Row],[Inches]]</f>
        <v>2550</v>
      </c>
    </row>
    <row r="49" spans="1:5" ht="18.5">
      <c r="A49" s="51" t="s">
        <v>114</v>
      </c>
      <c r="B49" s="46">
        <f>(2*B47)+B44+(2*B45)+(2*B46)+(2*B42)</f>
        <v>11.7004</v>
      </c>
      <c r="C49" s="46">
        <f>B49*25.4</f>
        <v>297.19015999999999</v>
      </c>
      <c r="D49" s="46">
        <f>B49*2.54</f>
        <v>29.719016</v>
      </c>
      <c r="E49" s="47">
        <f>ROUNDUP($B$40*Table10[[#This Row],[Inches]],0)</f>
        <v>3511</v>
      </c>
    </row>
    <row r="50" spans="1:5" ht="18.5">
      <c r="A50" s="51" t="s">
        <v>115</v>
      </c>
      <c r="B50" s="46">
        <f>B48+(2*B46)+(2*B42)</f>
        <v>8.75</v>
      </c>
      <c r="C50" s="46">
        <f>B50*25.4</f>
        <v>222.25</v>
      </c>
      <c r="D50" s="46">
        <f>B50*2.54</f>
        <v>22.225000000000001</v>
      </c>
      <c r="E50" s="47">
        <f>ROUNDUP($B$40*Table10[[#This Row],[Inches]],0)</f>
        <v>2625</v>
      </c>
    </row>
    <row r="52" spans="1:5" ht="18.5">
      <c r="A52" s="39" t="s">
        <v>104</v>
      </c>
      <c r="B52" s="1" t="str">
        <f>ROUND(B49,2)&amp;" x "&amp;ROUND(B50,2)&amp;" inches"</f>
        <v>11.7 x 8.75 inches</v>
      </c>
    </row>
    <row r="53" spans="1:5" ht="18.5">
      <c r="B53" s="1" t="str">
        <f>E49&amp;" x "&amp;E50&amp;" pixels at "&amp;B40&amp;" DPI."</f>
        <v>3511 x 2625 pixels at 300 DPI.</v>
      </c>
    </row>
    <row r="55" spans="1:5" ht="15.5">
      <c r="A55" t="s">
        <v>113</v>
      </c>
      <c r="B55" s="50" t="s">
        <v>21</v>
      </c>
      <c r="C55" s="50" t="s">
        <v>22</v>
      </c>
      <c r="D55" s="50" t="s">
        <v>54</v>
      </c>
      <c r="E55" s="50" t="s">
        <v>100</v>
      </c>
    </row>
    <row r="56" spans="1:5" ht="18.5">
      <c r="A56" t="s">
        <v>119</v>
      </c>
      <c r="B56" s="36">
        <f>_xlfn.XLOOKUP(B10,DPI[Name],DPI[DPI],"")</f>
        <v>300</v>
      </c>
      <c r="C56" s="40"/>
      <c r="D56" s="40"/>
      <c r="E56" s="36"/>
    </row>
    <row r="57" spans="1:5" ht="18.5">
      <c r="A57" t="s">
        <v>106</v>
      </c>
      <c r="B57" s="40">
        <f>B46</f>
        <v>0.125</v>
      </c>
      <c r="C57" s="41">
        <f t="shared" ref="C57:C64" si="5">B57*25.4</f>
        <v>3.1749999999999998</v>
      </c>
      <c r="D57" s="24">
        <f>B57*2.54</f>
        <v>0.3175</v>
      </c>
      <c r="E57" s="36">
        <f>ROUNDUP(Table12[[#This Row],[Inches]]*$B$56,0)</f>
        <v>38</v>
      </c>
    </row>
    <row r="58" spans="1:5" ht="18.5">
      <c r="A58" t="s">
        <v>201</v>
      </c>
      <c r="B58" s="40">
        <f>B42</f>
        <v>0</v>
      </c>
      <c r="C58" s="41">
        <f t="shared" si="5"/>
        <v>0</v>
      </c>
      <c r="D58" s="24">
        <f>B58*2.54</f>
        <v>0</v>
      </c>
      <c r="E58" s="36">
        <f>ROUNDUP(Table12[[#This Row],[Inches]]*$B$56,0)</f>
        <v>0</v>
      </c>
    </row>
    <row r="59" spans="1:5" ht="18.5">
      <c r="A59" t="s">
        <v>117</v>
      </c>
      <c r="B59" s="40">
        <f>B47</f>
        <v>5.5</v>
      </c>
      <c r="C59" s="41">
        <f t="shared" si="5"/>
        <v>139.69999999999999</v>
      </c>
      <c r="D59" s="24">
        <f t="shared" ref="D59:D72" si="6">B59*2.54</f>
        <v>13.97</v>
      </c>
      <c r="E59" s="36">
        <f>ROUNDUP(Table12[[#This Row],[Inches]]*$B$56,0)</f>
        <v>1650</v>
      </c>
    </row>
    <row r="60" spans="1:5" ht="18.5">
      <c r="A60" t="s">
        <v>107</v>
      </c>
      <c r="B60" s="40">
        <f>B45</f>
        <v>0</v>
      </c>
      <c r="C60" s="41">
        <f t="shared" si="5"/>
        <v>0</v>
      </c>
      <c r="D60" s="24">
        <f t="shared" si="6"/>
        <v>0</v>
      </c>
      <c r="E60" s="36">
        <f>ROUNDUP(Table12[[#This Row],[Inches]]*$B$56,0)</f>
        <v>0</v>
      </c>
    </row>
    <row r="61" spans="1:5" ht="18.5">
      <c r="A61" t="s">
        <v>108</v>
      </c>
      <c r="B61" s="40">
        <f>B44</f>
        <v>0.45040000000000002</v>
      </c>
      <c r="C61" s="41">
        <f t="shared" si="5"/>
        <v>11.440160000000001</v>
      </c>
      <c r="D61" s="24">
        <f t="shared" si="6"/>
        <v>1.1440160000000001</v>
      </c>
      <c r="E61" s="36">
        <f>ROUNDUP(Table12[[#This Row],[Inches]]*$B$56,0)</f>
        <v>136</v>
      </c>
    </row>
    <row r="62" spans="1:5" ht="18.5">
      <c r="A62" t="s">
        <v>109</v>
      </c>
      <c r="B62" s="40">
        <f>B45</f>
        <v>0</v>
      </c>
      <c r="C62" s="41">
        <f t="shared" si="5"/>
        <v>0</v>
      </c>
      <c r="D62" s="24">
        <f t="shared" si="6"/>
        <v>0</v>
      </c>
      <c r="E62" s="36">
        <f>ROUNDUP(Table12[[#This Row],[Inches]]*$B$56,0)</f>
        <v>0</v>
      </c>
    </row>
    <row r="63" spans="1:5" ht="18.5">
      <c r="A63" t="s">
        <v>118</v>
      </c>
      <c r="B63" s="40">
        <f>B47</f>
        <v>5.5</v>
      </c>
      <c r="C63" s="41">
        <f t="shared" si="5"/>
        <v>139.69999999999999</v>
      </c>
      <c r="D63" s="24">
        <f t="shared" si="6"/>
        <v>13.97</v>
      </c>
      <c r="E63" s="36">
        <f>ROUNDUP(Table12[[#This Row],[Inches]]*$B$56,0)</f>
        <v>1650</v>
      </c>
    </row>
    <row r="64" spans="1:5" ht="18.5">
      <c r="A64" t="s">
        <v>202</v>
      </c>
      <c r="B64" s="40">
        <f>B42</f>
        <v>0</v>
      </c>
      <c r="C64" s="41">
        <f t="shared" si="5"/>
        <v>0</v>
      </c>
      <c r="D64" s="24">
        <f>B64*2.54</f>
        <v>0</v>
      </c>
      <c r="E64" s="36">
        <f>ROUNDUP(Table12[[#This Row],[Inches]]*$B$56,0)</f>
        <v>0</v>
      </c>
    </row>
    <row r="65" spans="1:5" ht="18.5">
      <c r="A65" t="s">
        <v>110</v>
      </c>
      <c r="B65" s="40">
        <f>B46</f>
        <v>0.125</v>
      </c>
      <c r="C65" s="41">
        <f>B65*25.4</f>
        <v>3.1749999999999998</v>
      </c>
      <c r="D65" s="24">
        <f t="shared" si="6"/>
        <v>0.3175</v>
      </c>
      <c r="E65" s="36">
        <f>ROUNDUP(Table12[[#This Row],[Inches]]*$B$56,0)</f>
        <v>38</v>
      </c>
    </row>
    <row r="66" spans="1:5" ht="18.5">
      <c r="A66" s="51" t="s">
        <v>120</v>
      </c>
      <c r="B66" s="46">
        <f>SUM(B57:B65)</f>
        <v>11.7004</v>
      </c>
      <c r="C66" s="46">
        <f>B66*25.4</f>
        <v>297.19015999999999</v>
      </c>
      <c r="D66" s="46">
        <f t="shared" si="6"/>
        <v>29.719016</v>
      </c>
      <c r="E66" s="47">
        <f>ROUNDUP(SUM(B57:B65)*B56,0)</f>
        <v>3511</v>
      </c>
    </row>
    <row r="67" spans="1:5" ht="18.5">
      <c r="A67" t="s">
        <v>111</v>
      </c>
      <c r="B67" s="40">
        <f>B46</f>
        <v>0.125</v>
      </c>
      <c r="C67" s="41">
        <f t="shared" ref="C67:C70" si="7">B67*25.4</f>
        <v>3.1749999999999998</v>
      </c>
      <c r="D67" s="24">
        <f t="shared" si="6"/>
        <v>0.3175</v>
      </c>
      <c r="E67" s="36">
        <f>Table12[[#This Row],[Inches]]*$B$56</f>
        <v>37.5</v>
      </c>
    </row>
    <row r="68" spans="1:5" ht="18.5">
      <c r="A68" t="s">
        <v>203</v>
      </c>
      <c r="B68" s="40">
        <f>B42</f>
        <v>0</v>
      </c>
      <c r="C68" s="41">
        <f t="shared" si="7"/>
        <v>0</v>
      </c>
      <c r="D68" s="24">
        <f>B68*2.54</f>
        <v>0</v>
      </c>
      <c r="E68" s="36">
        <f>ROUNDUP(Table12[[#This Row],[Inches]]*$B$56,0)</f>
        <v>0</v>
      </c>
    </row>
    <row r="69" spans="1:5" ht="18.5">
      <c r="A69" t="s">
        <v>116</v>
      </c>
      <c r="B69" s="40">
        <f>B48</f>
        <v>8.5</v>
      </c>
      <c r="C69" s="41">
        <f t="shared" si="7"/>
        <v>215.89999999999998</v>
      </c>
      <c r="D69" s="24">
        <f t="shared" si="6"/>
        <v>21.59</v>
      </c>
      <c r="E69" s="36">
        <f>Table12[[#This Row],[Inches]]*$B$56</f>
        <v>2550</v>
      </c>
    </row>
    <row r="70" spans="1:5" ht="18.5">
      <c r="A70" t="s">
        <v>204</v>
      </c>
      <c r="B70" s="40">
        <f>B42</f>
        <v>0</v>
      </c>
      <c r="C70" s="41">
        <f t="shared" si="7"/>
        <v>0</v>
      </c>
      <c r="D70" s="24">
        <f>B70*2.54</f>
        <v>0</v>
      </c>
      <c r="E70" s="36">
        <f>ROUNDUP(Table12[[#This Row],[Inches]]*$B$56,0)</f>
        <v>0</v>
      </c>
    </row>
    <row r="71" spans="1:5" ht="18.5">
      <c r="A71" t="s">
        <v>112</v>
      </c>
      <c r="B71" s="40">
        <f>B46</f>
        <v>0.125</v>
      </c>
      <c r="C71" s="41">
        <f t="shared" ref="C71:C72" si="8">B71*25.4</f>
        <v>3.1749999999999998</v>
      </c>
      <c r="D71" s="24">
        <f t="shared" si="6"/>
        <v>0.3175</v>
      </c>
      <c r="E71" s="36">
        <f>Table12[[#This Row],[Inches]]*$B$56</f>
        <v>37.5</v>
      </c>
    </row>
    <row r="72" spans="1:5" ht="18.5">
      <c r="A72" s="51" t="s">
        <v>121</v>
      </c>
      <c r="B72" s="46">
        <f>SUM(B67:B71)</f>
        <v>8.75</v>
      </c>
      <c r="C72" s="46">
        <f t="shared" si="8"/>
        <v>222.25</v>
      </c>
      <c r="D72" s="46">
        <f t="shared" si="6"/>
        <v>22.225000000000001</v>
      </c>
      <c r="E72" s="47">
        <f>ROUNDUP(SUM(B67:B71)*B56,0)</f>
        <v>2625</v>
      </c>
    </row>
  </sheetData>
  <phoneticPr fontId="14" type="noConversion"/>
  <dataValidations count="7">
    <dataValidation type="list" allowBlank="1" showInputMessage="1" showErrorMessage="1" sqref="B5" xr:uid="{5DFBB2A5-FC6A-45BB-AA3A-4E142667F6A9}">
      <formula1>TrimSelect</formula1>
    </dataValidation>
    <dataValidation type="list" allowBlank="1" showInputMessage="1" showErrorMessage="1" sqref="B6" xr:uid="{7A25C645-6386-4A8B-87B4-78EF30FE57BF}">
      <formula1>MarginSelect</formula1>
    </dataValidation>
    <dataValidation type="list" allowBlank="1" showInputMessage="1" showErrorMessage="1" sqref="B7:B8" xr:uid="{D89D618C-9D13-40B8-8964-958DB41EBFF6}">
      <formula1>HeadFootSelect</formula1>
    </dataValidation>
    <dataValidation type="list" allowBlank="1" showInputMessage="1" showErrorMessage="1" sqref="B9" xr:uid="{86F44329-D33C-400A-AEAC-632016E227A9}">
      <formula1>PaperSelect</formula1>
    </dataValidation>
    <dataValidation type="list" allowBlank="1" showInputMessage="1" showErrorMessage="1" sqref="B10 B12:B13" xr:uid="{5A3E46F9-1900-41D2-95A3-AF2B4932D68B}">
      <formula1>DPISelect</formula1>
    </dataValidation>
    <dataValidation type="list" allowBlank="1" showInputMessage="1" showErrorMessage="1" sqref="B11" xr:uid="{F9412A1F-70DC-4E8B-91BC-CE554066CBA9}">
      <formula1>FormatSelect</formula1>
    </dataValidation>
    <dataValidation type="list" allowBlank="1" showInputMessage="1" showErrorMessage="1" sqref="B14" xr:uid="{25475FDE-3E1D-43B6-BD4E-FDD01DE8AF99}">
      <formula1>SectionStartSelect</formula1>
    </dataValidation>
  </dataValidations>
  <pageMargins left="0.7" right="0.7" top="0.75" bottom="0.75" header="0.3" footer="0.3"/>
  <pageSetup orientation="portrait"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D6A58-80C4-400D-A1F9-702A11659677}">
  <sheetPr codeName="Sheet2">
    <tabColor theme="8" tint="0.79998168889431442"/>
  </sheetPr>
  <dimension ref="B1:E68"/>
  <sheetViews>
    <sheetView topLeftCell="A9" workbookViewId="0">
      <selection activeCell="G18" sqref="G18"/>
    </sheetView>
  </sheetViews>
  <sheetFormatPr defaultColWidth="10.1796875" defaultRowHeight="14.5"/>
  <cols>
    <col min="1" max="1" width="2" customWidth="1"/>
    <col min="2" max="2" width="20.54296875" customWidth="1"/>
    <col min="3" max="3" width="50.54296875" bestFit="1" customWidth="1"/>
    <col min="4" max="4" width="22.36328125" customWidth="1"/>
    <col min="5" max="5" width="22.6328125" customWidth="1"/>
  </cols>
  <sheetData>
    <row r="1" spans="2:5" ht="17.5">
      <c r="B1" s="3" t="s">
        <v>239</v>
      </c>
    </row>
    <row r="2" spans="2:5">
      <c r="B2" s="4" t="s">
        <v>240</v>
      </c>
    </row>
    <row r="3" spans="2:5">
      <c r="B3" s="4" t="s">
        <v>274</v>
      </c>
    </row>
    <row r="4" spans="2:5" ht="15" thickBot="1">
      <c r="B4" s="4"/>
    </row>
    <row r="5" spans="2:5">
      <c r="B5" s="56"/>
      <c r="C5" s="57"/>
      <c r="D5" s="57"/>
      <c r="E5" s="58"/>
    </row>
    <row r="6" spans="2:5" ht="17.5">
      <c r="B6" s="59" t="s">
        <v>275</v>
      </c>
      <c r="C6" s="60"/>
      <c r="D6" s="60"/>
      <c r="E6" s="61"/>
    </row>
    <row r="7" spans="2:5">
      <c r="B7" s="62" t="s">
        <v>222</v>
      </c>
      <c r="C7" s="60"/>
      <c r="D7" s="60"/>
      <c r="E7" s="61"/>
    </row>
    <row r="8" spans="2:5">
      <c r="B8" s="62" t="s">
        <v>241</v>
      </c>
      <c r="C8" s="60"/>
      <c r="D8" s="60"/>
      <c r="E8" s="61"/>
    </row>
    <row r="9" spans="2:5">
      <c r="B9" s="62" t="s">
        <v>242</v>
      </c>
      <c r="C9" s="60"/>
      <c r="D9" s="60"/>
      <c r="E9" s="61"/>
    </row>
    <row r="10" spans="2:5">
      <c r="B10" s="62" t="s">
        <v>273</v>
      </c>
      <c r="C10" s="60"/>
      <c r="D10" s="60"/>
      <c r="E10" s="61"/>
    </row>
    <row r="11" spans="2:5" ht="15" thickBot="1">
      <c r="B11" s="63"/>
      <c r="C11" s="64"/>
      <c r="D11" s="64"/>
      <c r="E11" s="65"/>
    </row>
    <row r="12" spans="2:5">
      <c r="B12" s="4"/>
    </row>
    <row r="13" spans="2:5">
      <c r="B13" s="4"/>
    </row>
    <row r="14" spans="2:5" ht="21">
      <c r="B14" s="66" t="s">
        <v>246</v>
      </c>
    </row>
    <row r="15" spans="2:5" ht="18" customHeight="1">
      <c r="B15" s="15" t="s">
        <v>38</v>
      </c>
      <c r="C15" s="15" t="s">
        <v>39</v>
      </c>
      <c r="D15" s="15" t="s">
        <v>52</v>
      </c>
      <c r="E15" s="13" t="s">
        <v>51</v>
      </c>
    </row>
    <row r="16" spans="2:5" ht="18.5">
      <c r="B16" s="21" t="s">
        <v>40</v>
      </c>
      <c r="C16" s="19" t="s">
        <v>70</v>
      </c>
      <c r="D16" s="19" t="s">
        <v>49</v>
      </c>
      <c r="E16" s="14">
        <f>'Your Document'!B22</f>
        <v>5.5</v>
      </c>
    </row>
    <row r="17" spans="2:5" ht="18.5">
      <c r="B17" s="21" t="s">
        <v>41</v>
      </c>
      <c r="C17" s="19" t="s">
        <v>70</v>
      </c>
      <c r="D17" s="19" t="s">
        <v>50</v>
      </c>
      <c r="E17" s="14">
        <f>'Your Document'!B23</f>
        <v>8.5</v>
      </c>
    </row>
    <row r="18" spans="2:5" ht="15.5">
      <c r="B18" s="21"/>
      <c r="C18" s="19"/>
      <c r="D18" s="19"/>
      <c r="E18" s="2"/>
    </row>
    <row r="19" spans="2:5" ht="18.5">
      <c r="B19" s="21" t="s">
        <v>10</v>
      </c>
      <c r="C19" s="19" t="s">
        <v>71</v>
      </c>
      <c r="D19" s="19" t="s">
        <v>10</v>
      </c>
      <c r="E19" s="14">
        <f>'Your Document'!B30</f>
        <v>0.44999999999999996</v>
      </c>
    </row>
    <row r="20" spans="2:5" ht="18.5">
      <c r="B20" s="21" t="s">
        <v>11</v>
      </c>
      <c r="C20" s="19" t="s">
        <v>71</v>
      </c>
      <c r="D20" s="19" t="s">
        <v>11</v>
      </c>
      <c r="E20" s="14">
        <f>'Your Document'!B31</f>
        <v>0.44999999999999996</v>
      </c>
    </row>
    <row r="21" spans="2:5" ht="18.5">
      <c r="B21" s="21" t="s">
        <v>7</v>
      </c>
      <c r="C21" s="19" t="s">
        <v>72</v>
      </c>
      <c r="D21" s="19" t="s">
        <v>7</v>
      </c>
      <c r="E21" s="14">
        <f>'Your Document'!B24</f>
        <v>0.375</v>
      </c>
    </row>
    <row r="22" spans="2:5" ht="18.5">
      <c r="B22" s="21" t="s">
        <v>8</v>
      </c>
      <c r="C22" s="19" t="s">
        <v>72</v>
      </c>
      <c r="D22" s="19" t="s">
        <v>8</v>
      </c>
      <c r="E22" s="14">
        <f>'Your Document'!B25</f>
        <v>0.375</v>
      </c>
    </row>
    <row r="23" spans="2:5" ht="15.5">
      <c r="B23" s="21"/>
      <c r="C23" s="19"/>
      <c r="D23" s="19"/>
      <c r="E23" s="19"/>
    </row>
    <row r="24" spans="2:5" ht="18.5">
      <c r="B24" s="21" t="s">
        <v>42</v>
      </c>
      <c r="C24" s="19" t="s">
        <v>71</v>
      </c>
      <c r="D24" s="19" t="s">
        <v>9</v>
      </c>
      <c r="E24" s="14">
        <f>'Your Document'!B26</f>
        <v>0.5</v>
      </c>
    </row>
    <row r="25" spans="2:5" ht="18.5">
      <c r="B25" s="21" t="s">
        <v>43</v>
      </c>
      <c r="C25" s="19" t="s">
        <v>44</v>
      </c>
      <c r="D25" s="19" t="s">
        <v>78</v>
      </c>
      <c r="E25" s="22" t="s">
        <v>77</v>
      </c>
    </row>
    <row r="26" spans="2:5" ht="15.5">
      <c r="B26" s="21"/>
      <c r="C26" s="19"/>
      <c r="D26" s="19"/>
      <c r="E26" s="19"/>
    </row>
    <row r="27" spans="2:5" ht="18.5">
      <c r="B27" s="21" t="s">
        <v>45</v>
      </c>
      <c r="C27" s="19" t="s">
        <v>71</v>
      </c>
      <c r="D27" s="19" t="s">
        <v>45</v>
      </c>
      <c r="E27" s="17" t="s">
        <v>73</v>
      </c>
    </row>
    <row r="28" spans="2:5" ht="15.5">
      <c r="B28" s="21"/>
      <c r="C28" s="19"/>
      <c r="D28" s="19"/>
      <c r="E28" s="7"/>
    </row>
    <row r="29" spans="2:5" ht="18.5">
      <c r="B29" s="21" t="s">
        <v>47</v>
      </c>
      <c r="C29" s="19" t="s">
        <v>76</v>
      </c>
      <c r="D29" s="19" t="s">
        <v>55</v>
      </c>
      <c r="E29" s="14">
        <f>'Your Document'!B28</f>
        <v>0.35</v>
      </c>
    </row>
    <row r="30" spans="2:5" ht="18.5">
      <c r="B30" s="21" t="s">
        <v>48</v>
      </c>
      <c r="C30" s="19" t="s">
        <v>76</v>
      </c>
      <c r="D30" s="19" t="s">
        <v>56</v>
      </c>
      <c r="E30" s="14">
        <f>'Your Document'!B29</f>
        <v>0.35</v>
      </c>
    </row>
    <row r="31" spans="2:5" ht="15.5">
      <c r="B31" s="21"/>
      <c r="C31" s="19"/>
      <c r="D31" s="19"/>
      <c r="E31" s="19"/>
    </row>
    <row r="32" spans="2:5" ht="18.5">
      <c r="B32" s="21" t="s">
        <v>58</v>
      </c>
      <c r="C32" s="19" t="s">
        <v>59</v>
      </c>
      <c r="D32" s="19" t="s">
        <v>60</v>
      </c>
      <c r="E32" s="14" t="str">
        <f>IF(C17&gt;=C16,"'Portrait'","'Landscape'")</f>
        <v>'Portrait'</v>
      </c>
    </row>
    <row r="33" spans="2:5" ht="15.5">
      <c r="B33" s="21"/>
      <c r="C33" s="19"/>
      <c r="D33" s="19"/>
      <c r="E33" s="19"/>
    </row>
    <row r="34" spans="2:5" ht="18.5">
      <c r="B34" s="21" t="s">
        <v>67</v>
      </c>
      <c r="C34" s="20" t="s">
        <v>69</v>
      </c>
      <c r="D34" s="20" t="s">
        <v>63</v>
      </c>
      <c r="E34" s="17" t="str">
        <f>'Your Document'!B14</f>
        <v>Odd</v>
      </c>
    </row>
    <row r="35" spans="2:5">
      <c r="B35" s="12"/>
    </row>
    <row r="37" spans="2:5" ht="21">
      <c r="B37" s="66" t="s">
        <v>243</v>
      </c>
    </row>
    <row r="38" spans="2:5" ht="17.5">
      <c r="B38" s="3" t="s">
        <v>187</v>
      </c>
    </row>
    <row r="39" spans="2:5">
      <c r="B39" s="4" t="s">
        <v>188</v>
      </c>
    </row>
    <row r="40" spans="2:5">
      <c r="B40" s="4" t="s">
        <v>231</v>
      </c>
    </row>
    <row r="41" spans="2:5">
      <c r="B41" s="4" t="s">
        <v>189</v>
      </c>
    </row>
    <row r="42" spans="2:5">
      <c r="B42" s="4"/>
    </row>
    <row r="43" spans="2:5" ht="17.5">
      <c r="B43" s="3" t="s">
        <v>42</v>
      </c>
    </row>
    <row r="44" spans="2:5">
      <c r="B44" s="4" t="s">
        <v>196</v>
      </c>
    </row>
    <row r="45" spans="2:5">
      <c r="B45" s="4" t="s">
        <v>197</v>
      </c>
    </row>
    <row r="46" spans="2:5">
      <c r="B46" s="4" t="s">
        <v>195</v>
      </c>
    </row>
    <row r="47" spans="2:5">
      <c r="B47" s="4" t="s">
        <v>198</v>
      </c>
    </row>
    <row r="49" spans="2:2" ht="17.5">
      <c r="B49" s="3" t="s">
        <v>46</v>
      </c>
    </row>
    <row r="50" spans="2:2">
      <c r="B50" s="18" t="s">
        <v>184</v>
      </c>
    </row>
    <row r="51" spans="2:2">
      <c r="B51" s="18" t="s">
        <v>62</v>
      </c>
    </row>
    <row r="52" spans="2:2">
      <c r="B52" s="18" t="s">
        <v>64</v>
      </c>
    </row>
    <row r="53" spans="2:2">
      <c r="B53" s="18" t="s">
        <v>68</v>
      </c>
    </row>
    <row r="54" spans="2:2">
      <c r="B54" s="18" t="s">
        <v>66</v>
      </c>
    </row>
    <row r="55" spans="2:2">
      <c r="B55" s="18" t="s">
        <v>75</v>
      </c>
    </row>
    <row r="57" spans="2:2" ht="17.5">
      <c r="B57" s="3" t="s">
        <v>230</v>
      </c>
    </row>
    <row r="58" spans="2:2">
      <c r="B58" s="4" t="s">
        <v>16</v>
      </c>
    </row>
    <row r="59" spans="2:2">
      <c r="B59" s="4" t="s">
        <v>37</v>
      </c>
    </row>
    <row r="60" spans="2:2">
      <c r="B60" s="4" t="s">
        <v>17</v>
      </c>
    </row>
    <row r="61" spans="2:2">
      <c r="B61" s="4"/>
    </row>
    <row r="62" spans="2:2" ht="17.5">
      <c r="B62" s="3" t="s">
        <v>26</v>
      </c>
    </row>
    <row r="63" spans="2:2">
      <c r="B63" s="4" t="s">
        <v>24</v>
      </c>
    </row>
    <row r="64" spans="2:2">
      <c r="B64" s="4" t="s">
        <v>25</v>
      </c>
    </row>
    <row r="65" spans="2:2">
      <c r="B65" s="4" t="s">
        <v>212</v>
      </c>
    </row>
    <row r="66" spans="2:2">
      <c r="B66" s="4" t="s">
        <v>217</v>
      </c>
    </row>
    <row r="67" spans="2:2">
      <c r="B67" s="4" t="s">
        <v>213</v>
      </c>
    </row>
    <row r="68" spans="2:2">
      <c r="B68" s="4" t="s">
        <v>214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heet2.CreateKDPWordTemplate">
                <anchor moveWithCells="1">
                  <from>
                    <xdr:col>4</xdr:col>
                    <xdr:colOff>0</xdr:colOff>
                    <xdr:row>4</xdr:row>
                    <xdr:rowOff>133350</xdr:rowOff>
                  </from>
                  <to>
                    <xdr:col>4</xdr:col>
                    <xdr:colOff>1492250</xdr:colOff>
                    <xdr:row>6</xdr:row>
                    <xdr:rowOff>114300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5DAB0-8DB5-4747-8E07-84167BDB3B5A}">
  <sheetPr codeName="Sheet3">
    <tabColor theme="8" tint="0.79998168889431442"/>
  </sheetPr>
  <dimension ref="B1:E54"/>
  <sheetViews>
    <sheetView workbookViewId="0">
      <selection activeCell="E21" sqref="E21"/>
    </sheetView>
  </sheetViews>
  <sheetFormatPr defaultColWidth="10.1796875" defaultRowHeight="14.5"/>
  <cols>
    <col min="1" max="1" width="1.90625" customWidth="1"/>
    <col min="2" max="2" width="20.54296875" customWidth="1"/>
    <col min="3" max="3" width="50.54296875" bestFit="1" customWidth="1"/>
    <col min="4" max="4" width="22.36328125" customWidth="1"/>
    <col min="5" max="5" width="22.6328125" customWidth="1"/>
  </cols>
  <sheetData>
    <row r="1" spans="2:5" ht="17.5">
      <c r="B1" s="3" t="s">
        <v>238</v>
      </c>
    </row>
    <row r="2" spans="2:5">
      <c r="B2" s="4" t="s">
        <v>244</v>
      </c>
    </row>
    <row r="3" spans="2:5">
      <c r="B3" s="4" t="s">
        <v>245</v>
      </c>
    </row>
    <row r="4" spans="2:5">
      <c r="B4" s="4"/>
    </row>
    <row r="5" spans="2:5" ht="21">
      <c r="B5" s="66" t="s">
        <v>246</v>
      </c>
    </row>
    <row r="6" spans="2:5" ht="18.5">
      <c r="B6" s="15" t="s">
        <v>38</v>
      </c>
      <c r="C6" s="15" t="s">
        <v>39</v>
      </c>
      <c r="D6" s="15" t="s">
        <v>52</v>
      </c>
      <c r="E6" s="13" t="s">
        <v>51</v>
      </c>
    </row>
    <row r="7" spans="2:5" ht="18.5">
      <c r="B7" s="21" t="s">
        <v>40</v>
      </c>
      <c r="C7" s="19" t="s">
        <v>70</v>
      </c>
      <c r="D7" s="19" t="s">
        <v>49</v>
      </c>
      <c r="E7" s="14">
        <f>'Your Document'!B33+('Your Document'!B32*2)</f>
        <v>5.5</v>
      </c>
    </row>
    <row r="8" spans="2:5" ht="18.5">
      <c r="B8" s="21" t="s">
        <v>41</v>
      </c>
      <c r="C8" s="19" t="s">
        <v>70</v>
      </c>
      <c r="D8" s="19" t="s">
        <v>50</v>
      </c>
      <c r="E8" s="14">
        <f>'Your Document'!B35+('Your Document'!B32*2)</f>
        <v>8.5</v>
      </c>
    </row>
    <row r="9" spans="2:5" ht="15.5">
      <c r="B9" s="21"/>
      <c r="C9" s="19"/>
      <c r="D9" s="19"/>
      <c r="E9" s="2"/>
    </row>
    <row r="10" spans="2:5" ht="18.5">
      <c r="B10" s="21" t="s">
        <v>10</v>
      </c>
      <c r="C10" s="19" t="s">
        <v>71</v>
      </c>
      <c r="D10" s="19" t="s">
        <v>10</v>
      </c>
      <c r="E10" s="14">
        <f>'Your Document'!B30</f>
        <v>0.44999999999999996</v>
      </c>
    </row>
    <row r="11" spans="2:5" ht="18.5">
      <c r="B11" s="21" t="s">
        <v>11</v>
      </c>
      <c r="C11" s="19" t="s">
        <v>71</v>
      </c>
      <c r="D11" s="19" t="s">
        <v>11</v>
      </c>
      <c r="E11" s="14">
        <f>'Your Document'!B31</f>
        <v>0.44999999999999996</v>
      </c>
    </row>
    <row r="12" spans="2:5" ht="18.5">
      <c r="B12" s="21" t="s">
        <v>7</v>
      </c>
      <c r="C12" s="19" t="s">
        <v>72</v>
      </c>
      <c r="D12" s="19" t="s">
        <v>7</v>
      </c>
      <c r="E12" s="14">
        <f>'Your Document'!B24</f>
        <v>0.375</v>
      </c>
    </row>
    <row r="13" spans="2:5" ht="18.5">
      <c r="B13" s="21" t="s">
        <v>8</v>
      </c>
      <c r="C13" s="19" t="s">
        <v>72</v>
      </c>
      <c r="D13" s="19" t="s">
        <v>8</v>
      </c>
      <c r="E13" s="14">
        <f>'Your Document'!B25+'Your Document'!B32</f>
        <v>0.375</v>
      </c>
    </row>
    <row r="14" spans="2:5" ht="15.5">
      <c r="B14" s="21"/>
      <c r="C14" s="19"/>
      <c r="D14" s="19"/>
      <c r="E14" s="19"/>
    </row>
    <row r="15" spans="2:5" ht="18.5">
      <c r="B15" s="21" t="s">
        <v>42</v>
      </c>
      <c r="C15" s="19" t="s">
        <v>71</v>
      </c>
      <c r="D15" s="19" t="s">
        <v>9</v>
      </c>
      <c r="E15" s="14">
        <f>'Your Document'!B26</f>
        <v>0.5</v>
      </c>
    </row>
    <row r="16" spans="2:5" ht="18.5">
      <c r="B16" s="21" t="s">
        <v>43</v>
      </c>
      <c r="C16" s="19" t="s">
        <v>44</v>
      </c>
      <c r="D16" s="19" t="s">
        <v>78</v>
      </c>
      <c r="E16" s="22" t="s">
        <v>77</v>
      </c>
    </row>
    <row r="17" spans="2:5" ht="15.5">
      <c r="B17" s="21"/>
      <c r="C17" s="19"/>
      <c r="D17" s="19"/>
      <c r="E17" s="19"/>
    </row>
    <row r="18" spans="2:5" ht="18.5">
      <c r="B18" s="21" t="s">
        <v>45</v>
      </c>
      <c r="C18" s="19" t="s">
        <v>71</v>
      </c>
      <c r="D18" s="19" t="s">
        <v>45</v>
      </c>
      <c r="E18" s="17" t="s">
        <v>73</v>
      </c>
    </row>
    <row r="19" spans="2:5" ht="15.5">
      <c r="B19" s="21"/>
      <c r="C19" s="19"/>
      <c r="D19" s="19"/>
      <c r="E19" s="7"/>
    </row>
    <row r="20" spans="2:5" ht="18.5">
      <c r="B20" s="21" t="s">
        <v>47</v>
      </c>
      <c r="C20" s="19" t="s">
        <v>76</v>
      </c>
      <c r="D20" s="19" t="s">
        <v>55</v>
      </c>
      <c r="E20" s="14">
        <f>'Your Document'!B28+'Your Document'!B32</f>
        <v>0.35</v>
      </c>
    </row>
    <row r="21" spans="2:5" ht="18.5">
      <c r="B21" s="21" t="s">
        <v>48</v>
      </c>
      <c r="C21" s="19" t="s">
        <v>76</v>
      </c>
      <c r="D21" s="19" t="s">
        <v>56</v>
      </c>
      <c r="E21" s="14">
        <f>'Your Document'!B29+'Your Document'!B32</f>
        <v>0.35</v>
      </c>
    </row>
    <row r="22" spans="2:5" ht="15.5">
      <c r="B22" s="21"/>
      <c r="C22" s="19"/>
      <c r="D22" s="19"/>
      <c r="E22" s="19"/>
    </row>
    <row r="23" spans="2:5" ht="18.5">
      <c r="B23" s="21" t="s">
        <v>58</v>
      </c>
      <c r="C23" s="19" t="s">
        <v>59</v>
      </c>
      <c r="D23" s="19" t="s">
        <v>60</v>
      </c>
      <c r="E23" s="14" t="str">
        <f>IF(C8&gt;=C7,"'Portrait'","'Landscape'")</f>
        <v>'Portrait'</v>
      </c>
    </row>
    <row r="24" spans="2:5" ht="15.5">
      <c r="B24" s="21"/>
      <c r="C24" s="19"/>
      <c r="D24" s="19"/>
      <c r="E24" s="19"/>
    </row>
    <row r="25" spans="2:5" ht="18.5">
      <c r="B25" s="21" t="s">
        <v>67</v>
      </c>
      <c r="C25" s="20" t="s">
        <v>69</v>
      </c>
      <c r="D25" s="20" t="s">
        <v>63</v>
      </c>
      <c r="E25" s="17" t="s">
        <v>65</v>
      </c>
    </row>
    <row r="26" spans="2:5">
      <c r="B26" s="12"/>
    </row>
    <row r="27" spans="2:5">
      <c r="B27" s="4"/>
    </row>
    <row r="28" spans="2:5" ht="21">
      <c r="B28" s="66" t="s">
        <v>243</v>
      </c>
    </row>
    <row r="29" spans="2:5" ht="17.5">
      <c r="B29" s="3" t="s">
        <v>187</v>
      </c>
    </row>
    <row r="30" spans="2:5">
      <c r="B30" s="4" t="s">
        <v>232</v>
      </c>
    </row>
    <row r="31" spans="2:5">
      <c r="B31" s="4" t="s">
        <v>233</v>
      </c>
    </row>
    <row r="32" spans="2:5">
      <c r="B32" s="4" t="s">
        <v>237</v>
      </c>
    </row>
    <row r="33" spans="2:2">
      <c r="B33" s="4"/>
    </row>
    <row r="34" spans="2:2" ht="17.5">
      <c r="B34" s="3" t="s">
        <v>42</v>
      </c>
    </row>
    <row r="35" spans="2:2">
      <c r="B35" s="4" t="s">
        <v>196</v>
      </c>
    </row>
    <row r="36" spans="2:2">
      <c r="B36" s="4" t="s">
        <v>197</v>
      </c>
    </row>
    <row r="37" spans="2:2">
      <c r="B37" s="4" t="s">
        <v>195</v>
      </c>
    </row>
    <row r="38" spans="2:2">
      <c r="B38" s="4" t="s">
        <v>198</v>
      </c>
    </row>
    <row r="40" spans="2:2" ht="17.5">
      <c r="B40" s="3" t="s">
        <v>46</v>
      </c>
    </row>
    <row r="41" spans="2:2">
      <c r="B41" s="18" t="s">
        <v>184</v>
      </c>
    </row>
    <row r="42" spans="2:2">
      <c r="B42" s="18" t="s">
        <v>62</v>
      </c>
    </row>
    <row r="43" spans="2:2">
      <c r="B43" s="18" t="s">
        <v>64</v>
      </c>
    </row>
    <row r="44" spans="2:2">
      <c r="B44" s="18" t="s">
        <v>68</v>
      </c>
    </row>
    <row r="45" spans="2:2">
      <c r="B45" s="18" t="s">
        <v>66</v>
      </c>
    </row>
    <row r="46" spans="2:2">
      <c r="B46" s="18" t="s">
        <v>75</v>
      </c>
    </row>
    <row r="48" spans="2:2" ht="17.5">
      <c r="B48" s="3" t="s">
        <v>26</v>
      </c>
    </row>
    <row r="49" spans="2:2">
      <c r="B49" s="4" t="s">
        <v>24</v>
      </c>
    </row>
    <row r="50" spans="2:2">
      <c r="B50" s="4" t="s">
        <v>25</v>
      </c>
    </row>
    <row r="51" spans="2:2">
      <c r="B51" s="4" t="s">
        <v>212</v>
      </c>
    </row>
    <row r="52" spans="2:2">
      <c r="B52" s="4" t="s">
        <v>217</v>
      </c>
    </row>
    <row r="53" spans="2:2">
      <c r="B53" s="4" t="s">
        <v>213</v>
      </c>
    </row>
    <row r="54" spans="2:2">
      <c r="B54" s="4" t="s">
        <v>214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980C0-9503-4043-95BA-573687ED7D1A}">
  <sheetPr codeName="Sheet5">
    <tabColor theme="7" tint="0.59999389629810485"/>
  </sheetPr>
  <dimension ref="A1:A16"/>
  <sheetViews>
    <sheetView workbookViewId="0">
      <selection activeCell="F15" sqref="F15"/>
    </sheetView>
  </sheetViews>
  <sheetFormatPr defaultRowHeight="14.5"/>
  <sheetData>
    <row r="1" spans="1:1" ht="17.5">
      <c r="A1" s="3" t="s">
        <v>185</v>
      </c>
    </row>
    <row r="2" spans="1:1">
      <c r="A2" s="4" t="s">
        <v>267</v>
      </c>
    </row>
    <row r="3" spans="1:1">
      <c r="A3" s="4" t="s">
        <v>186</v>
      </c>
    </row>
    <row r="5" spans="1:1" ht="17.5">
      <c r="A5" s="3" t="s">
        <v>181</v>
      </c>
    </row>
    <row r="6" spans="1:1">
      <c r="A6" s="4" t="s">
        <v>218</v>
      </c>
    </row>
    <row r="7" spans="1:1">
      <c r="A7" s="4"/>
    </row>
    <row r="8" spans="1:1" ht="17.5">
      <c r="A8" s="3" t="s">
        <v>208</v>
      </c>
    </row>
    <row r="9" spans="1:1">
      <c r="A9" s="4" t="s">
        <v>206</v>
      </c>
    </row>
    <row r="10" spans="1:1">
      <c r="A10" s="4" t="s">
        <v>207</v>
      </c>
    </row>
    <row r="11" spans="1:1">
      <c r="A11" s="4" t="s">
        <v>205</v>
      </c>
    </row>
    <row r="13" spans="1:1" ht="17.5">
      <c r="A13" s="3" t="s">
        <v>179</v>
      </c>
    </row>
    <row r="14" spans="1:1">
      <c r="A14" s="4" t="s">
        <v>177</v>
      </c>
    </row>
    <row r="15" spans="1:1">
      <c r="A15" s="4" t="s">
        <v>180</v>
      </c>
    </row>
    <row r="16" spans="1:1">
      <c r="A16" s="4" t="s">
        <v>178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FB081-1034-4972-A9F9-5B75FBE088B8}">
  <sheetPr codeName="Sheet6">
    <tabColor theme="7" tint="0.39997558519241921"/>
  </sheetPr>
  <dimension ref="A1:A30"/>
  <sheetViews>
    <sheetView workbookViewId="0">
      <selection activeCell="H16" sqref="H16"/>
    </sheetView>
  </sheetViews>
  <sheetFormatPr defaultRowHeight="14.5"/>
  <sheetData>
    <row r="1" spans="1:1" ht="18.5">
      <c r="A1" s="1" t="s">
        <v>248</v>
      </c>
    </row>
    <row r="2" spans="1:1">
      <c r="A2" s="68" t="s">
        <v>266</v>
      </c>
    </row>
    <row r="3" spans="1:1">
      <c r="A3" t="s">
        <v>249</v>
      </c>
    </row>
    <row r="4" spans="1:1">
      <c r="A4" t="s">
        <v>250</v>
      </c>
    </row>
    <row r="6" spans="1:1">
      <c r="A6" s="53" t="s">
        <v>251</v>
      </c>
    </row>
    <row r="7" spans="1:1">
      <c r="A7" t="s">
        <v>252</v>
      </c>
    </row>
    <row r="8" spans="1:1">
      <c r="A8" s="68" t="s">
        <v>271</v>
      </c>
    </row>
    <row r="9" spans="1:1">
      <c r="A9" s="68"/>
    </row>
    <row r="10" spans="1:1">
      <c r="A10" t="s">
        <v>253</v>
      </c>
    </row>
    <row r="11" spans="1:1">
      <c r="A11" s="53" t="s">
        <v>259</v>
      </c>
    </row>
    <row r="12" spans="1:1">
      <c r="A12" s="53" t="s">
        <v>260</v>
      </c>
    </row>
    <row r="13" spans="1:1">
      <c r="A13" s="53"/>
    </row>
    <row r="14" spans="1:1">
      <c r="A14" s="53" t="s">
        <v>254</v>
      </c>
    </row>
    <row r="15" spans="1:1">
      <c r="A15" s="53" t="s">
        <v>261</v>
      </c>
    </row>
    <row r="16" spans="1:1">
      <c r="A16" t="s">
        <v>255</v>
      </c>
    </row>
    <row r="17" spans="1:1">
      <c r="A17" s="53" t="s">
        <v>268</v>
      </c>
    </row>
    <row r="19" spans="1:1">
      <c r="A19" s="53" t="s">
        <v>262</v>
      </c>
    </row>
    <row r="20" spans="1:1">
      <c r="A20" s="53" t="s">
        <v>263</v>
      </c>
    </row>
    <row r="21" spans="1:1">
      <c r="A21" t="s">
        <v>269</v>
      </c>
    </row>
    <row r="22" spans="1:1">
      <c r="A22" t="s">
        <v>256</v>
      </c>
    </row>
    <row r="25" spans="1:1">
      <c r="A25" s="53" t="s">
        <v>264</v>
      </c>
    </row>
    <row r="26" spans="1:1">
      <c r="A26" t="s">
        <v>257</v>
      </c>
    </row>
    <row r="28" spans="1:1">
      <c r="A28" s="53" t="s">
        <v>265</v>
      </c>
    </row>
    <row r="29" spans="1:1">
      <c r="A29" t="s">
        <v>258</v>
      </c>
    </row>
    <row r="30" spans="1:1">
      <c r="A30" t="s">
        <v>270</v>
      </c>
    </row>
  </sheetData>
  <hyperlinks>
    <hyperlink ref="A2" r:id="rId1" xr:uid="{5118DC11-4962-4FF7-9140-9C481FE8387D}"/>
    <hyperlink ref="A8" r:id="rId2" xr:uid="{CF68EE09-C820-4BBC-ACAC-3B876267DB6F}"/>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9" tint="0.39997558519241921"/>
  </sheetPr>
  <dimension ref="A1:I81"/>
  <sheetViews>
    <sheetView topLeftCell="A18" zoomScaleNormal="100" workbookViewId="0">
      <selection activeCell="A83" sqref="A83"/>
    </sheetView>
  </sheetViews>
  <sheetFormatPr defaultRowHeight="14.5"/>
  <cols>
    <col min="1" max="1" width="40" customWidth="1"/>
    <col min="2" max="2" width="18.1796875" customWidth="1"/>
    <col min="3" max="3" width="14.54296875" customWidth="1"/>
    <col min="4" max="4" width="14.81640625" customWidth="1"/>
    <col min="5" max="5" width="19.08984375" customWidth="1"/>
    <col min="6" max="6" width="15.08984375" customWidth="1"/>
    <col min="7" max="7" width="17.1796875" bestFit="1" customWidth="1"/>
    <col min="8" max="9" width="22.7265625" bestFit="1" customWidth="1"/>
  </cols>
  <sheetData>
    <row r="1" spans="1:9" ht="17.5">
      <c r="A1" s="3" t="s">
        <v>34</v>
      </c>
    </row>
    <row r="2" spans="1:9" ht="15.5">
      <c r="A2" s="16" t="s">
        <v>276</v>
      </c>
    </row>
    <row r="3" spans="1:9" ht="15.5">
      <c r="A3" s="16" t="s">
        <v>277</v>
      </c>
    </row>
    <row r="4" spans="1:9" ht="15.5">
      <c r="A4" s="16" t="s">
        <v>53</v>
      </c>
    </row>
    <row r="5" spans="1:9" ht="15.5">
      <c r="A5" s="16"/>
    </row>
    <row r="6" spans="1:9" ht="18.5">
      <c r="A6" s="1" t="s">
        <v>29</v>
      </c>
    </row>
    <row r="7" spans="1:9">
      <c r="A7" s="25" t="s">
        <v>0</v>
      </c>
      <c r="B7" s="25" t="s">
        <v>142</v>
      </c>
      <c r="C7" s="26" t="s">
        <v>83</v>
      </c>
      <c r="D7" s="26" t="s">
        <v>84</v>
      </c>
      <c r="E7" s="26" t="s">
        <v>124</v>
      </c>
      <c r="F7" s="26" t="s">
        <v>105</v>
      </c>
      <c r="G7" s="26" t="s">
        <v>200</v>
      </c>
      <c r="H7" s="26" t="s">
        <v>82</v>
      </c>
      <c r="I7" s="25" t="s">
        <v>219</v>
      </c>
    </row>
    <row r="8" spans="1:9">
      <c r="A8" s="29" t="s">
        <v>143</v>
      </c>
      <c r="B8" t="s">
        <v>125</v>
      </c>
      <c r="C8" s="26">
        <v>5</v>
      </c>
      <c r="D8" s="26">
        <v>8</v>
      </c>
      <c r="E8" s="26">
        <v>0.125</v>
      </c>
      <c r="F8" s="26">
        <v>0.125</v>
      </c>
      <c r="G8" s="26">
        <v>0</v>
      </c>
      <c r="H8" s="26" t="s">
        <v>80</v>
      </c>
      <c r="I8" s="25"/>
    </row>
    <row r="9" spans="1:9">
      <c r="A9" s="29" t="s">
        <v>144</v>
      </c>
      <c r="B9" t="s">
        <v>126</v>
      </c>
      <c r="C9" s="26">
        <v>5.0599999999999996</v>
      </c>
      <c r="D9" s="26">
        <v>7.81</v>
      </c>
      <c r="E9" s="26">
        <v>0.125</v>
      </c>
      <c r="F9" s="26">
        <v>0.125</v>
      </c>
      <c r="G9" s="26">
        <v>0</v>
      </c>
      <c r="H9" s="26" t="s">
        <v>80</v>
      </c>
      <c r="I9" s="25"/>
    </row>
    <row r="10" spans="1:9">
      <c r="A10" s="29" t="s">
        <v>145</v>
      </c>
      <c r="B10" t="s">
        <v>127</v>
      </c>
      <c r="C10" s="26">
        <v>5.25</v>
      </c>
      <c r="D10" s="26">
        <v>8</v>
      </c>
      <c r="E10" s="26">
        <v>0.125</v>
      </c>
      <c r="F10" s="26">
        <v>0.125</v>
      </c>
      <c r="G10" s="26">
        <v>0</v>
      </c>
      <c r="H10" s="26" t="s">
        <v>80</v>
      </c>
      <c r="I10" s="25"/>
    </row>
    <row r="11" spans="1:9">
      <c r="A11" s="29" t="s">
        <v>146</v>
      </c>
      <c r="B11" t="s">
        <v>128</v>
      </c>
      <c r="C11" s="26">
        <v>5.5</v>
      </c>
      <c r="D11" s="26">
        <v>8.5</v>
      </c>
      <c r="E11" s="26">
        <v>0.125</v>
      </c>
      <c r="F11" s="26">
        <v>0.125</v>
      </c>
      <c r="G11" s="26">
        <v>0</v>
      </c>
      <c r="H11" s="26" t="s">
        <v>80</v>
      </c>
      <c r="I11" s="25" t="s">
        <v>165</v>
      </c>
    </row>
    <row r="12" spans="1:9">
      <c r="A12" s="29" t="s">
        <v>147</v>
      </c>
      <c r="B12" t="s">
        <v>129</v>
      </c>
      <c r="C12" s="26">
        <v>6</v>
      </c>
      <c r="D12" s="26">
        <v>9</v>
      </c>
      <c r="E12" s="26">
        <v>0.125</v>
      </c>
      <c r="F12" s="26">
        <v>0.125</v>
      </c>
      <c r="G12" s="26">
        <v>0</v>
      </c>
      <c r="H12" s="26" t="s">
        <v>80</v>
      </c>
      <c r="I12" s="25" t="s">
        <v>85</v>
      </c>
    </row>
    <row r="13" spans="1:9">
      <c r="A13" s="29" t="s">
        <v>148</v>
      </c>
      <c r="B13" t="s">
        <v>130</v>
      </c>
      <c r="C13" s="26">
        <v>6.14</v>
      </c>
      <c r="D13" s="26">
        <v>9.2100000000000009</v>
      </c>
      <c r="E13" s="26">
        <v>0.125</v>
      </c>
      <c r="F13" s="26">
        <v>0.125</v>
      </c>
      <c r="G13" s="26">
        <v>0</v>
      </c>
      <c r="H13" s="26" t="s">
        <v>80</v>
      </c>
      <c r="I13" s="25" t="s">
        <v>87</v>
      </c>
    </row>
    <row r="14" spans="1:9">
      <c r="A14" s="29" t="s">
        <v>149</v>
      </c>
      <c r="B14" t="s">
        <v>131</v>
      </c>
      <c r="C14" s="26">
        <v>6.69</v>
      </c>
      <c r="D14" s="26">
        <v>9.61</v>
      </c>
      <c r="E14" s="26">
        <v>0.125</v>
      </c>
      <c r="F14" s="26">
        <v>0.125</v>
      </c>
      <c r="G14" s="26">
        <v>0</v>
      </c>
      <c r="H14" s="26" t="s">
        <v>80</v>
      </c>
      <c r="I14" s="25"/>
    </row>
    <row r="15" spans="1:9">
      <c r="A15" s="29" t="s">
        <v>150</v>
      </c>
      <c r="B15" t="s">
        <v>132</v>
      </c>
      <c r="C15" s="26">
        <v>7</v>
      </c>
      <c r="D15" s="26">
        <v>10</v>
      </c>
      <c r="E15" s="26">
        <v>0.125</v>
      </c>
      <c r="F15" s="26">
        <v>0.125</v>
      </c>
      <c r="G15" s="26">
        <v>0</v>
      </c>
      <c r="H15" s="26" t="s">
        <v>80</v>
      </c>
      <c r="I15" t="s">
        <v>166</v>
      </c>
    </row>
    <row r="16" spans="1:9">
      <c r="A16" s="29" t="s">
        <v>151</v>
      </c>
      <c r="B16" t="s">
        <v>133</v>
      </c>
      <c r="C16" s="26">
        <v>7.44</v>
      </c>
      <c r="D16" s="26">
        <v>9.69</v>
      </c>
      <c r="E16" s="26">
        <v>0.125</v>
      </c>
      <c r="F16" s="26">
        <v>0.125</v>
      </c>
      <c r="G16" s="26">
        <v>0</v>
      </c>
      <c r="H16" s="26" t="s">
        <v>80</v>
      </c>
      <c r="I16" t="s">
        <v>167</v>
      </c>
    </row>
    <row r="17" spans="1:9">
      <c r="A17" s="29" t="s">
        <v>152</v>
      </c>
      <c r="B17" t="s">
        <v>134</v>
      </c>
      <c r="C17" s="26">
        <v>7.5</v>
      </c>
      <c r="D17" s="26">
        <v>9.25</v>
      </c>
      <c r="E17" s="26">
        <v>0.125</v>
      </c>
      <c r="F17" s="26">
        <v>0.125</v>
      </c>
      <c r="G17" s="26">
        <v>0</v>
      </c>
      <c r="H17" s="26" t="s">
        <v>80</v>
      </c>
      <c r="I17" s="25"/>
    </row>
    <row r="18" spans="1:9">
      <c r="A18" s="29" t="s">
        <v>153</v>
      </c>
      <c r="B18" t="s">
        <v>135</v>
      </c>
      <c r="C18" s="26">
        <v>8</v>
      </c>
      <c r="D18" s="26">
        <v>10</v>
      </c>
      <c r="E18" s="26">
        <v>0.125</v>
      </c>
      <c r="F18" s="26">
        <v>0.125</v>
      </c>
      <c r="G18" s="26">
        <v>0</v>
      </c>
      <c r="H18" s="26" t="s">
        <v>80</v>
      </c>
      <c r="I18" s="25"/>
    </row>
    <row r="19" spans="1:9">
      <c r="A19" s="29" t="s">
        <v>154</v>
      </c>
      <c r="B19" t="s">
        <v>136</v>
      </c>
      <c r="C19" s="26">
        <v>8.25</v>
      </c>
      <c r="D19" s="26">
        <v>6</v>
      </c>
      <c r="E19" s="26">
        <v>0.125</v>
      </c>
      <c r="F19" s="26">
        <v>0.125</v>
      </c>
      <c r="G19" s="26">
        <v>0</v>
      </c>
      <c r="H19" s="26" t="s">
        <v>80</v>
      </c>
      <c r="I19" s="25"/>
    </row>
    <row r="20" spans="1:9">
      <c r="A20" s="29" t="s">
        <v>155</v>
      </c>
      <c r="B20" t="s">
        <v>137</v>
      </c>
      <c r="C20" s="26">
        <v>8.25</v>
      </c>
      <c r="D20" s="26">
        <v>8.25</v>
      </c>
      <c r="E20" s="26">
        <v>0.125</v>
      </c>
      <c r="F20" s="26">
        <v>0.125</v>
      </c>
      <c r="G20" s="26">
        <v>0</v>
      </c>
      <c r="H20" s="26" t="s">
        <v>80</v>
      </c>
      <c r="I20" s="25"/>
    </row>
    <row r="21" spans="1:9">
      <c r="A21" s="29" t="s">
        <v>156</v>
      </c>
      <c r="B21" t="s">
        <v>138</v>
      </c>
      <c r="C21" s="26">
        <v>8.5</v>
      </c>
      <c r="D21" s="26">
        <v>8.5</v>
      </c>
      <c r="E21" s="26">
        <v>0.125</v>
      </c>
      <c r="F21" s="26">
        <v>0.125</v>
      </c>
      <c r="G21" s="26">
        <v>0</v>
      </c>
      <c r="H21" s="26" t="s">
        <v>80</v>
      </c>
      <c r="I21" s="25"/>
    </row>
    <row r="22" spans="1:9">
      <c r="A22" s="29" t="s">
        <v>157</v>
      </c>
      <c r="B22" t="s">
        <v>139</v>
      </c>
      <c r="C22" s="26">
        <v>8.5</v>
      </c>
      <c r="D22" s="26">
        <v>11</v>
      </c>
      <c r="E22" s="26">
        <v>0.125</v>
      </c>
      <c r="F22" s="26">
        <v>0.125</v>
      </c>
      <c r="G22" s="26">
        <v>0</v>
      </c>
      <c r="H22" s="26" t="s">
        <v>80</v>
      </c>
      <c r="I22" s="25" t="s">
        <v>164</v>
      </c>
    </row>
    <row r="23" spans="1:9">
      <c r="A23" s="29" t="s">
        <v>158</v>
      </c>
      <c r="B23" t="s">
        <v>140</v>
      </c>
      <c r="C23" s="26">
        <v>8.27</v>
      </c>
      <c r="D23" s="26">
        <v>11.69</v>
      </c>
      <c r="E23" s="26">
        <v>0.125</v>
      </c>
      <c r="F23" s="26">
        <v>0.125</v>
      </c>
      <c r="G23" s="26">
        <v>0</v>
      </c>
      <c r="H23" s="26" t="s">
        <v>80</v>
      </c>
      <c r="I23" s="25" t="s">
        <v>86</v>
      </c>
    </row>
    <row r="24" spans="1:9">
      <c r="A24" s="29" t="s">
        <v>159</v>
      </c>
      <c r="B24" t="s">
        <v>128</v>
      </c>
      <c r="C24" s="26">
        <v>5.5</v>
      </c>
      <c r="D24" s="26">
        <v>8.5</v>
      </c>
      <c r="E24" s="26">
        <v>0.125</v>
      </c>
      <c r="F24" s="26">
        <v>0.125</v>
      </c>
      <c r="G24" s="26">
        <v>0.125</v>
      </c>
      <c r="H24" s="26" t="s">
        <v>81</v>
      </c>
      <c r="I24" s="25" t="s">
        <v>165</v>
      </c>
    </row>
    <row r="25" spans="1:9">
      <c r="A25" s="29" t="s">
        <v>160</v>
      </c>
      <c r="B25" t="s">
        <v>129</v>
      </c>
      <c r="C25" s="26">
        <v>6</v>
      </c>
      <c r="D25" s="26">
        <v>9</v>
      </c>
      <c r="E25" s="26">
        <v>0.125</v>
      </c>
      <c r="F25" s="26">
        <v>0.125</v>
      </c>
      <c r="G25" s="26">
        <v>0.125</v>
      </c>
      <c r="H25" s="26" t="s">
        <v>81</v>
      </c>
      <c r="I25" s="25" t="s">
        <v>85</v>
      </c>
    </row>
    <row r="26" spans="1:9">
      <c r="A26" s="29" t="s">
        <v>161</v>
      </c>
      <c r="B26" t="s">
        <v>130</v>
      </c>
      <c r="C26" s="26">
        <v>6.14</v>
      </c>
      <c r="D26" s="26">
        <v>9.2100000000000009</v>
      </c>
      <c r="E26" s="26">
        <v>0.125</v>
      </c>
      <c r="F26" s="26">
        <v>0.125</v>
      </c>
      <c r="G26" s="26">
        <v>0.125</v>
      </c>
      <c r="H26" s="26" t="s">
        <v>81</v>
      </c>
      <c r="I26" s="25" t="s">
        <v>87</v>
      </c>
    </row>
    <row r="27" spans="1:9">
      <c r="A27" s="29" t="s">
        <v>162</v>
      </c>
      <c r="B27" t="s">
        <v>132</v>
      </c>
      <c r="C27" s="26">
        <v>7</v>
      </c>
      <c r="D27" s="26">
        <v>10</v>
      </c>
      <c r="E27" s="26">
        <v>0.125</v>
      </c>
      <c r="F27" s="26">
        <v>0.125</v>
      </c>
      <c r="G27" s="26">
        <v>0.125</v>
      </c>
      <c r="H27" s="26" t="s">
        <v>81</v>
      </c>
      <c r="I27" t="s">
        <v>166</v>
      </c>
    </row>
    <row r="28" spans="1:9">
      <c r="A28" s="30" t="s">
        <v>163</v>
      </c>
      <c r="B28" t="s">
        <v>141</v>
      </c>
      <c r="C28" s="28">
        <v>8.25</v>
      </c>
      <c r="D28" s="28">
        <v>11</v>
      </c>
      <c r="E28" s="26">
        <v>0.125</v>
      </c>
      <c r="F28" s="26">
        <v>0.125</v>
      </c>
      <c r="G28" s="26">
        <v>0.125</v>
      </c>
      <c r="H28" s="26" t="s">
        <v>81</v>
      </c>
      <c r="I28" s="25" t="s">
        <v>164</v>
      </c>
    </row>
    <row r="29" spans="1:9">
      <c r="A29" s="25"/>
      <c r="B29" s="26"/>
      <c r="C29" s="26"/>
      <c r="D29" s="26"/>
    </row>
    <row r="30" spans="1:9">
      <c r="A30" s="44" t="s">
        <v>168</v>
      </c>
      <c r="B30" s="26"/>
      <c r="C30" s="26"/>
      <c r="D30" s="26"/>
    </row>
    <row r="31" spans="1:9">
      <c r="A31" s="44"/>
      <c r="B31" s="26"/>
      <c r="C31" s="26"/>
      <c r="D31" s="26"/>
    </row>
    <row r="32" spans="1:9">
      <c r="A32" s="44"/>
      <c r="B32" s="26"/>
      <c r="C32" s="26"/>
      <c r="D32" s="26"/>
    </row>
    <row r="33" spans="1:6" ht="18.5">
      <c r="A33" s="1" t="s">
        <v>169</v>
      </c>
      <c r="B33" s="26"/>
      <c r="C33" s="26"/>
      <c r="D33" s="26"/>
    </row>
    <row r="34" spans="1:6">
      <c r="A34" s="25" t="s">
        <v>0</v>
      </c>
      <c r="B34" s="26" t="s">
        <v>170</v>
      </c>
      <c r="C34" s="26" t="s">
        <v>171</v>
      </c>
      <c r="D34" s="26"/>
    </row>
    <row r="35" spans="1:6">
      <c r="A35" s="27" t="s">
        <v>173</v>
      </c>
      <c r="B35" s="26" t="b">
        <v>0</v>
      </c>
      <c r="C35" s="26" t="b">
        <v>1</v>
      </c>
      <c r="D35" s="26"/>
    </row>
    <row r="36" spans="1:6">
      <c r="A36" s="27" t="s">
        <v>172</v>
      </c>
      <c r="B36" s="26" t="b">
        <v>1</v>
      </c>
      <c r="C36" s="26" t="b">
        <v>1</v>
      </c>
      <c r="D36" s="26"/>
    </row>
    <row r="37" spans="1:6">
      <c r="A37" s="27"/>
      <c r="B37" s="26"/>
      <c r="C37" s="26"/>
      <c r="D37" s="26"/>
    </row>
    <row r="38" spans="1:6">
      <c r="A38" s="27"/>
      <c r="B38" s="26"/>
      <c r="C38" s="26"/>
      <c r="D38" s="26"/>
    </row>
    <row r="39" spans="1:6" ht="18.5">
      <c r="A39" s="1" t="s">
        <v>27</v>
      </c>
      <c r="B39" s="26"/>
      <c r="C39" s="26"/>
      <c r="D39" s="26"/>
    </row>
    <row r="40" spans="1:6">
      <c r="A40" s="25" t="s">
        <v>0</v>
      </c>
      <c r="B40" s="26" t="s">
        <v>1</v>
      </c>
      <c r="C40" s="26" t="s">
        <v>192</v>
      </c>
      <c r="D40" s="26" t="s">
        <v>2</v>
      </c>
      <c r="E40" s="26" t="s">
        <v>3</v>
      </c>
      <c r="F40" s="26"/>
    </row>
    <row r="41" spans="1:6">
      <c r="A41" s="27" t="s">
        <v>14</v>
      </c>
      <c r="B41" s="26">
        <v>0.3</v>
      </c>
      <c r="C41" s="26">
        <v>0.3</v>
      </c>
      <c r="D41" s="26">
        <v>0.3</v>
      </c>
      <c r="E41" s="26">
        <v>0.3</v>
      </c>
      <c r="F41" s="26"/>
    </row>
    <row r="42" spans="1:6">
      <c r="A42" s="27" t="s">
        <v>13</v>
      </c>
      <c r="B42" s="26">
        <v>0.375</v>
      </c>
      <c r="C42" s="26">
        <v>0.375</v>
      </c>
      <c r="D42" s="26">
        <v>0.375</v>
      </c>
      <c r="E42" s="26">
        <v>0.375</v>
      </c>
      <c r="F42" s="26"/>
    </row>
    <row r="43" spans="1:6">
      <c r="A43" s="27" t="s">
        <v>15</v>
      </c>
      <c r="B43" s="26">
        <v>0.5</v>
      </c>
      <c r="C43" s="26">
        <v>0.5</v>
      </c>
      <c r="D43" s="26">
        <v>0.5</v>
      </c>
      <c r="E43" s="26">
        <v>0.5</v>
      </c>
      <c r="F43" s="26"/>
    </row>
    <row r="44" spans="1:6">
      <c r="A44" s="27"/>
      <c r="B44" s="26"/>
      <c r="C44" s="26"/>
      <c r="D44" s="26"/>
      <c r="E44" s="26"/>
      <c r="F44" s="26"/>
    </row>
    <row r="45" spans="1:6">
      <c r="A45" s="27"/>
      <c r="B45" s="26"/>
      <c r="C45" s="26"/>
      <c r="D45" s="26"/>
    </row>
    <row r="46" spans="1:6" ht="18.5">
      <c r="A46" s="1" t="s">
        <v>28</v>
      </c>
      <c r="B46" s="26"/>
      <c r="C46" s="26"/>
      <c r="D46" s="26"/>
    </row>
    <row r="47" spans="1:6">
      <c r="A47" s="25" t="s">
        <v>0</v>
      </c>
      <c r="B47" s="26" t="s">
        <v>215</v>
      </c>
      <c r="C47" s="26" t="s">
        <v>216</v>
      </c>
      <c r="D47" s="26"/>
    </row>
    <row r="48" spans="1:6">
      <c r="A48" s="27" t="s">
        <v>31</v>
      </c>
      <c r="B48" s="26">
        <v>0</v>
      </c>
      <c r="C48" s="26">
        <v>0</v>
      </c>
      <c r="D48" s="26"/>
    </row>
    <row r="49" spans="1:4">
      <c r="A49" s="27" t="s">
        <v>14</v>
      </c>
      <c r="B49" s="26">
        <v>0.2</v>
      </c>
      <c r="C49" s="26">
        <v>0.2</v>
      </c>
      <c r="D49" s="26"/>
    </row>
    <row r="50" spans="1:4">
      <c r="A50" s="27" t="s">
        <v>13</v>
      </c>
      <c r="B50" s="26">
        <v>0.35</v>
      </c>
      <c r="C50" s="26">
        <v>0.35</v>
      </c>
      <c r="D50" s="26"/>
    </row>
    <row r="51" spans="1:4">
      <c r="A51" s="27" t="s">
        <v>15</v>
      </c>
      <c r="B51" s="26">
        <v>0.5</v>
      </c>
      <c r="C51" s="26">
        <v>0.5</v>
      </c>
      <c r="D51" s="26"/>
    </row>
    <row r="52" spans="1:4">
      <c r="A52" s="27"/>
      <c r="B52" s="26"/>
      <c r="C52" s="26"/>
      <c r="D52" s="26"/>
    </row>
    <row r="53" spans="1:4">
      <c r="A53" s="25"/>
      <c r="B53" s="25"/>
      <c r="C53" s="25"/>
      <c r="D53" s="25"/>
    </row>
    <row r="54" spans="1:4" ht="18.5">
      <c r="A54" s="1" t="s">
        <v>74</v>
      </c>
      <c r="B54" s="25"/>
      <c r="C54" s="25"/>
      <c r="D54" s="25"/>
    </row>
    <row r="55" spans="1:4">
      <c r="A55" s="25" t="s">
        <v>30</v>
      </c>
      <c r="B55" s="25"/>
      <c r="C55" s="25"/>
      <c r="D55" s="25"/>
    </row>
    <row r="56" spans="1:4">
      <c r="A56" s="27" t="s">
        <v>18</v>
      </c>
      <c r="B56" s="25"/>
      <c r="C56" s="25"/>
      <c r="D56" s="25"/>
    </row>
    <row r="57" spans="1:4">
      <c r="A57" s="27" t="s">
        <v>4</v>
      </c>
      <c r="B57" s="25"/>
      <c r="C57" s="25"/>
      <c r="D57" s="25"/>
    </row>
    <row r="58" spans="1:4">
      <c r="A58" s="25"/>
      <c r="B58" s="25"/>
      <c r="C58" s="25"/>
    </row>
    <row r="60" spans="1:4" ht="18.5">
      <c r="A60" s="1" t="s">
        <v>209</v>
      </c>
    </row>
    <row r="61" spans="1:4">
      <c r="A61" s="10" t="s">
        <v>0</v>
      </c>
      <c r="B61" s="10" t="s">
        <v>97</v>
      </c>
      <c r="C61" s="10" t="s">
        <v>88</v>
      </c>
    </row>
    <row r="62" spans="1:4">
      <c r="A62" s="11" t="s">
        <v>89</v>
      </c>
      <c r="B62" s="9">
        <v>2.5000000000000001E-3</v>
      </c>
      <c r="C62" s="9">
        <v>776</v>
      </c>
    </row>
    <row r="63" spans="1:4">
      <c r="A63" s="11" t="s">
        <v>90</v>
      </c>
      <c r="B63" s="9">
        <v>2.2520000000000001E-3</v>
      </c>
      <c r="C63" s="9">
        <v>828</v>
      </c>
    </row>
    <row r="64" spans="1:4">
      <c r="A64" s="11" t="s">
        <v>91</v>
      </c>
      <c r="B64" s="9">
        <v>2.3470000000000001E-3</v>
      </c>
      <c r="C64" s="9">
        <v>600</v>
      </c>
    </row>
    <row r="65" spans="1:3">
      <c r="A65" s="11" t="s">
        <v>92</v>
      </c>
      <c r="B65" s="9">
        <v>2.3470000000000001E-3</v>
      </c>
      <c r="C65" s="9">
        <v>828</v>
      </c>
    </row>
    <row r="68" spans="1:3" ht="18.5">
      <c r="A68" s="1" t="s">
        <v>98</v>
      </c>
    </row>
    <row r="69" spans="1:3">
      <c r="A69" t="s">
        <v>0</v>
      </c>
      <c r="B69" t="s">
        <v>98</v>
      </c>
    </row>
    <row r="70" spans="1:3">
      <c r="A70" t="s">
        <v>102</v>
      </c>
      <c r="B70">
        <v>600</v>
      </c>
    </row>
    <row r="71" spans="1:3">
      <c r="A71" t="s">
        <v>101</v>
      </c>
      <c r="B71">
        <v>300</v>
      </c>
    </row>
    <row r="72" spans="1:3">
      <c r="A72" t="s">
        <v>103</v>
      </c>
      <c r="B72">
        <v>150</v>
      </c>
    </row>
    <row r="75" spans="1:3" ht="18.5">
      <c r="A75" s="1" t="s">
        <v>223</v>
      </c>
    </row>
    <row r="76" spans="1:3">
      <c r="A76" t="s">
        <v>0</v>
      </c>
      <c r="B76" t="s">
        <v>51</v>
      </c>
    </row>
    <row r="77" spans="1:3">
      <c r="A77" t="s">
        <v>224</v>
      </c>
      <c r="B77">
        <v>4</v>
      </c>
    </row>
    <row r="78" spans="1:3">
      <c r="A78" t="s">
        <v>225</v>
      </c>
      <c r="B78">
        <v>3</v>
      </c>
    </row>
    <row r="79" spans="1:3">
      <c r="A79" t="s">
        <v>226</v>
      </c>
      <c r="B79">
        <v>2</v>
      </c>
    </row>
    <row r="80" spans="1:3">
      <c r="A80" t="s">
        <v>228</v>
      </c>
      <c r="B80">
        <v>1</v>
      </c>
    </row>
    <row r="81" spans="1:2">
      <c r="A81" t="s">
        <v>229</v>
      </c>
      <c r="B81">
        <v>0</v>
      </c>
    </row>
  </sheetData>
  <dataConsolidate/>
  <pageMargins left="0.7" right="0.7" top="0.75" bottom="0.75" header="0.3" footer="0.3"/>
  <tableParts count="8">
    <tablePart r:id="rId1"/>
    <tablePart r:id="rId2"/>
    <tablePart r:id="rId3"/>
    <tablePart r:id="rId4"/>
    <tablePart r:id="rId5"/>
    <tablePart r:id="rId6"/>
    <tablePart r:id="rId7"/>
    <tablePart r:id="rId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5643851-67F7-4EEB-A1C1-200BDB3A93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25</vt:i4>
      </vt:variant>
    </vt:vector>
  </HeadingPairs>
  <TitlesOfParts>
    <vt:vector size="31" baseType="lpstr">
      <vt:lpstr>Your Document</vt:lpstr>
      <vt:lpstr>MS Word (.docx)</vt:lpstr>
      <vt:lpstr>MS Word (.pdf)</vt:lpstr>
      <vt:lpstr>Notes</vt:lpstr>
      <vt:lpstr>License</vt:lpstr>
      <vt:lpstr>Settings</vt:lpstr>
      <vt:lpstr>'MS Word (.pdf)'!DPISelect</vt:lpstr>
      <vt:lpstr>DPISelect</vt:lpstr>
      <vt:lpstr>'MS Word (.pdf)'!FormatSelect</vt:lpstr>
      <vt:lpstr>FormatSelect</vt:lpstr>
      <vt:lpstr>'MS Word (.pdf)'!HeadFootSelect</vt:lpstr>
      <vt:lpstr>HeadFootSelect</vt:lpstr>
      <vt:lpstr>INTERIOR_BottomMargin</vt:lpstr>
      <vt:lpstr>INTERIOR_FooterDistance</vt:lpstr>
      <vt:lpstr>INTERIOR_GutterSize</vt:lpstr>
      <vt:lpstr>INTERIOR_HeaderDistance</vt:lpstr>
      <vt:lpstr>INTERIOR_InsideMargin</vt:lpstr>
      <vt:lpstr>INTERIOR_OutsideMargin</vt:lpstr>
      <vt:lpstr>INTERIOR_PageHeight</vt:lpstr>
      <vt:lpstr>INTERIOR_PageWidth</vt:lpstr>
      <vt:lpstr>INTERIOR_SectionStart</vt:lpstr>
      <vt:lpstr>INTERIOR_TopMargin</vt:lpstr>
      <vt:lpstr>'MS Word (.pdf)'!MarginSelect</vt:lpstr>
      <vt:lpstr>MarginSelect</vt:lpstr>
      <vt:lpstr>'MS Word (.pdf)'!PaperSelect</vt:lpstr>
      <vt:lpstr>PaperSelect</vt:lpstr>
      <vt:lpstr>SectionStartSelect</vt:lpstr>
      <vt:lpstr>'MS Word (.pdf)'!TrimSelect</vt:lpstr>
      <vt:lpstr>TrimSelect</vt:lpstr>
      <vt:lpstr>'MS Word (.pdf)'!YesNoSelect</vt:lpstr>
      <vt:lpstr>YesNoSelect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Lownds</dc:creator>
  <cp:lastModifiedBy>Steve Lownds</cp:lastModifiedBy>
  <dcterms:created xsi:type="dcterms:W3CDTF">2025-04-08T11:46:04Z</dcterms:created>
  <dcterms:modified xsi:type="dcterms:W3CDTF">2025-04-16T15:59:01Z</dcterms:modified>
</cp:coreProperties>
</file>